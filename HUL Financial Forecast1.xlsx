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D90918D0-AA8E-4395-A683-A9678B6BD6A0}" xr6:coauthVersionLast="47" xr6:coauthVersionMax="47" xr10:uidLastSave="{00000000-0000-0000-0000-000000000000}"/>
  <bookViews>
    <workbookView xWindow="-108" yWindow="-108" windowWidth="23256" windowHeight="12456" activeTab="2" xr2:uid="{787A5CEC-47AF-0A4C-8174-7C7B226619F1}"/>
  </bookViews>
  <sheets>
    <sheet name="IS" sheetId="1" r:id="rId1"/>
    <sheet name="BS" sheetId="3" r:id="rId2"/>
    <sheet name="CF" sheetId="5" r:id="rId3"/>
    <sheet name="Schedules" sheetId="4" r:id="rId4"/>
    <sheet name="Assumption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2" l="1"/>
  <c r="I1" i="2" s="1"/>
  <c r="J1" i="2" s="1"/>
  <c r="K1" i="2" s="1"/>
  <c r="H1" i="1"/>
  <c r="I1" i="1"/>
  <c r="J1" i="1"/>
  <c r="K1" i="1"/>
  <c r="G1" i="1"/>
  <c r="C1" i="3"/>
  <c r="D1" i="3"/>
  <c r="E1" i="3"/>
  <c r="F1" i="3"/>
  <c r="G1" i="3"/>
  <c r="H1" i="3"/>
  <c r="I1" i="3"/>
  <c r="J1" i="3"/>
  <c r="K1" i="3"/>
  <c r="F74" i="2"/>
  <c r="G74" i="2"/>
  <c r="H74" i="2"/>
  <c r="I74" i="2"/>
  <c r="J74" i="2"/>
  <c r="K74" i="2"/>
  <c r="F92" i="2"/>
  <c r="G92" i="2"/>
  <c r="H92" i="2"/>
  <c r="I92" i="2"/>
  <c r="J92" i="2"/>
  <c r="G30" i="3"/>
  <c r="F90" i="2"/>
  <c r="G90" i="2"/>
  <c r="B12" i="5"/>
  <c r="B13" i="5"/>
  <c r="AE10" i="4"/>
  <c r="AE11" i="4"/>
  <c r="AE12" i="4"/>
  <c r="AE13" i="4"/>
  <c r="AD6" i="4"/>
  <c r="AD7" i="4"/>
  <c r="AD8" i="4"/>
  <c r="AD19" i="4"/>
  <c r="AE19" i="4"/>
  <c r="AE8" i="4"/>
  <c r="AE14" i="4"/>
  <c r="AE15" i="4"/>
  <c r="AE16" i="4"/>
  <c r="G9" i="1"/>
  <c r="B14" i="5"/>
  <c r="G98" i="2"/>
  <c r="G96" i="2"/>
  <c r="G21" i="1"/>
  <c r="B15" i="5"/>
  <c r="B16" i="5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B8" i="5"/>
  <c r="R19" i="4"/>
  <c r="S23" i="4"/>
  <c r="S22" i="4"/>
  <c r="B9" i="5"/>
  <c r="B10" i="5"/>
  <c r="H75" i="2"/>
  <c r="I75" i="2"/>
  <c r="J75" i="2"/>
  <c r="K75" i="2"/>
  <c r="H76" i="2"/>
  <c r="I76" i="2"/>
  <c r="J76" i="2"/>
  <c r="K76" i="2"/>
  <c r="H77" i="2"/>
  <c r="I77" i="2"/>
  <c r="J77" i="2"/>
  <c r="K77" i="2"/>
  <c r="H78" i="2"/>
  <c r="I78" i="2"/>
  <c r="J78" i="2"/>
  <c r="K78" i="2"/>
  <c r="H79" i="2"/>
  <c r="I79" i="2"/>
  <c r="J79" i="2"/>
  <c r="K79" i="2"/>
  <c r="H80" i="2"/>
  <c r="I80" i="2"/>
  <c r="J80" i="2"/>
  <c r="K80" i="2"/>
  <c r="H81" i="2"/>
  <c r="I81" i="2"/>
  <c r="J81" i="2"/>
  <c r="K81" i="2"/>
  <c r="H82" i="2"/>
  <c r="I82" i="2"/>
  <c r="J82" i="2"/>
  <c r="K82" i="2"/>
  <c r="H83" i="2"/>
  <c r="I83" i="2"/>
  <c r="J83" i="2"/>
  <c r="K83" i="2"/>
  <c r="H84" i="2"/>
  <c r="I84" i="2"/>
  <c r="J84" i="2"/>
  <c r="K84" i="2"/>
  <c r="H85" i="2"/>
  <c r="I85" i="2"/>
  <c r="J85" i="2"/>
  <c r="K85" i="2"/>
  <c r="H86" i="2"/>
  <c r="I86" i="2"/>
  <c r="J86" i="2"/>
  <c r="K86" i="2"/>
  <c r="F8" i="5"/>
  <c r="C47" i="3"/>
  <c r="C25" i="3"/>
  <c r="C49" i="3"/>
  <c r="D47" i="3"/>
  <c r="D25" i="3"/>
  <c r="D49" i="3"/>
  <c r="E47" i="3"/>
  <c r="E25" i="3"/>
  <c r="E49" i="3"/>
  <c r="F47" i="3"/>
  <c r="F25" i="3"/>
  <c r="F49" i="3"/>
  <c r="B19" i="5"/>
  <c r="AF10" i="4"/>
  <c r="AF11" i="4"/>
  <c r="AF12" i="4"/>
  <c r="AF13" i="4"/>
  <c r="AF19" i="4"/>
  <c r="AF8" i="4"/>
  <c r="AF14" i="4"/>
  <c r="AF15" i="4"/>
  <c r="AF16" i="4"/>
  <c r="H9" i="1"/>
  <c r="C14" i="5"/>
  <c r="AG10" i="4"/>
  <c r="AG11" i="4"/>
  <c r="AG12" i="4"/>
  <c r="AG13" i="4"/>
  <c r="AG19" i="4"/>
  <c r="AG8" i="4"/>
  <c r="AG14" i="4"/>
  <c r="AG15" i="4"/>
  <c r="AG16" i="4"/>
  <c r="I9" i="1"/>
  <c r="D14" i="5"/>
  <c r="AH10" i="4"/>
  <c r="AH11" i="4"/>
  <c r="AH12" i="4"/>
  <c r="AH13" i="4"/>
  <c r="AH19" i="4"/>
  <c r="AH8" i="4"/>
  <c r="AH14" i="4"/>
  <c r="AH15" i="4"/>
  <c r="AH16" i="4"/>
  <c r="J9" i="1"/>
  <c r="E14" i="5"/>
  <c r="AI10" i="4"/>
  <c r="AI11" i="4"/>
  <c r="AI12" i="4"/>
  <c r="AI13" i="4"/>
  <c r="AI19" i="4"/>
  <c r="AI8" i="4"/>
  <c r="AI14" i="4"/>
  <c r="AI15" i="4"/>
  <c r="AI16" i="4"/>
  <c r="K9" i="1"/>
  <c r="F14" i="5"/>
  <c r="H98" i="2"/>
  <c r="H90" i="2"/>
  <c r="H96" i="2"/>
  <c r="H21" i="1"/>
  <c r="C15" i="5"/>
  <c r="I98" i="2"/>
  <c r="I90" i="2"/>
  <c r="I96" i="2"/>
  <c r="I21" i="1"/>
  <c r="D15" i="5"/>
  <c r="J98" i="2"/>
  <c r="J90" i="2"/>
  <c r="J96" i="2"/>
  <c r="J21" i="1"/>
  <c r="E15" i="5"/>
  <c r="K98" i="2"/>
  <c r="K90" i="2"/>
  <c r="K96" i="2"/>
  <c r="K21" i="1"/>
  <c r="F15" i="5"/>
  <c r="C13" i="5"/>
  <c r="D13" i="5"/>
  <c r="E13" i="5"/>
  <c r="F13" i="5"/>
  <c r="R7" i="4"/>
  <c r="S7" i="4"/>
  <c r="N19" i="4"/>
  <c r="N7" i="4"/>
  <c r="N20" i="4"/>
  <c r="O19" i="4"/>
  <c r="O7" i="4"/>
  <c r="O20" i="4"/>
  <c r="P19" i="4"/>
  <c r="P7" i="4"/>
  <c r="P20" i="4"/>
  <c r="Q19" i="4"/>
  <c r="Q7" i="4"/>
  <c r="Q20" i="4"/>
  <c r="R20" i="4"/>
  <c r="S20" i="4"/>
  <c r="S19" i="4"/>
  <c r="T23" i="4"/>
  <c r="T22" i="4"/>
  <c r="C9" i="5"/>
  <c r="T7" i="4"/>
  <c r="T20" i="4"/>
  <c r="T19" i="4"/>
  <c r="U23" i="4"/>
  <c r="U22" i="4"/>
  <c r="D9" i="5"/>
  <c r="U7" i="4"/>
  <c r="U20" i="4"/>
  <c r="U19" i="4"/>
  <c r="V23" i="4"/>
  <c r="V22" i="4"/>
  <c r="E9" i="5"/>
  <c r="V7" i="4"/>
  <c r="V20" i="4"/>
  <c r="V19" i="4"/>
  <c r="W23" i="4"/>
  <c r="W22" i="4"/>
  <c r="F9" i="5"/>
  <c r="G17" i="2"/>
  <c r="H18" i="2"/>
  <c r="H17" i="2"/>
  <c r="G19" i="2"/>
  <c r="H20" i="2"/>
  <c r="H19" i="2"/>
  <c r="C22" i="2"/>
  <c r="D22" i="2"/>
  <c r="E22" i="2"/>
  <c r="F22" i="2"/>
  <c r="G22" i="2"/>
  <c r="G21" i="2"/>
  <c r="H22" i="2"/>
  <c r="H21" i="2"/>
  <c r="G23" i="2"/>
  <c r="H24" i="2"/>
  <c r="H23" i="2"/>
  <c r="H25" i="2"/>
  <c r="H2" i="2"/>
  <c r="H2" i="1"/>
  <c r="F3" i="2"/>
  <c r="F27" i="2"/>
  <c r="G28" i="2"/>
  <c r="G27" i="2"/>
  <c r="H28" i="2"/>
  <c r="H27" i="2"/>
  <c r="H3" i="2"/>
  <c r="H3" i="1"/>
  <c r="H4" i="1"/>
  <c r="C4" i="2"/>
  <c r="C31" i="2"/>
  <c r="C2" i="2"/>
  <c r="C32" i="2"/>
  <c r="D4" i="2"/>
  <c r="D31" i="2"/>
  <c r="D2" i="2"/>
  <c r="D32" i="2"/>
  <c r="E4" i="2"/>
  <c r="E31" i="2"/>
  <c r="E2" i="2"/>
  <c r="E32" i="2"/>
  <c r="F4" i="2"/>
  <c r="F31" i="2"/>
  <c r="F2" i="2"/>
  <c r="F32" i="2"/>
  <c r="B4" i="2"/>
  <c r="B31" i="2"/>
  <c r="B2" i="2"/>
  <c r="B32" i="2"/>
  <c r="G32" i="2"/>
  <c r="H32" i="2"/>
  <c r="H31" i="2"/>
  <c r="H4" i="2"/>
  <c r="H5" i="1"/>
  <c r="C5" i="2"/>
  <c r="C34" i="2"/>
  <c r="C35" i="2"/>
  <c r="D5" i="2"/>
  <c r="D34" i="2"/>
  <c r="D35" i="2"/>
  <c r="E5" i="2"/>
  <c r="E34" i="2"/>
  <c r="E35" i="2"/>
  <c r="F5" i="2"/>
  <c r="F34" i="2"/>
  <c r="F35" i="2"/>
  <c r="B5" i="2"/>
  <c r="B34" i="2"/>
  <c r="B35" i="2"/>
  <c r="G35" i="2"/>
  <c r="H35" i="2"/>
  <c r="H34" i="2"/>
  <c r="H5" i="2"/>
  <c r="H6" i="1"/>
  <c r="H6" i="2"/>
  <c r="H7" i="1"/>
  <c r="G39" i="2"/>
  <c r="G38" i="2"/>
  <c r="H39" i="2"/>
  <c r="H38" i="2"/>
  <c r="F7" i="2"/>
  <c r="F37" i="2"/>
  <c r="F40" i="2"/>
  <c r="G41" i="2"/>
  <c r="G40" i="2"/>
  <c r="H41" i="2"/>
  <c r="H40" i="2"/>
  <c r="H37" i="2"/>
  <c r="H7" i="2"/>
  <c r="H8" i="1"/>
  <c r="H10" i="1"/>
  <c r="C45" i="2"/>
  <c r="D45" i="2"/>
  <c r="E45" i="2"/>
  <c r="F45" i="2"/>
  <c r="B45" i="2"/>
  <c r="G45" i="2"/>
  <c r="H45" i="2"/>
  <c r="H44" i="2"/>
  <c r="C47" i="2"/>
  <c r="D47" i="2"/>
  <c r="E47" i="2"/>
  <c r="F47" i="2"/>
  <c r="B47" i="2"/>
  <c r="G47" i="2"/>
  <c r="H47" i="2"/>
  <c r="H46" i="2"/>
  <c r="C49" i="2"/>
  <c r="D49" i="2"/>
  <c r="E49" i="2"/>
  <c r="F49" i="2"/>
  <c r="B49" i="2"/>
  <c r="G49" i="2"/>
  <c r="H49" i="2"/>
  <c r="H48" i="2"/>
  <c r="C51" i="2"/>
  <c r="D51" i="2"/>
  <c r="E51" i="2"/>
  <c r="F51" i="2"/>
  <c r="B51" i="2"/>
  <c r="G51" i="2"/>
  <c r="H51" i="2"/>
  <c r="H50" i="2"/>
  <c r="C53" i="2"/>
  <c r="D53" i="2"/>
  <c r="E53" i="2"/>
  <c r="F53" i="2"/>
  <c r="B53" i="2"/>
  <c r="G53" i="2"/>
  <c r="H53" i="2"/>
  <c r="H52" i="2"/>
  <c r="C55" i="2"/>
  <c r="D55" i="2"/>
  <c r="E55" i="2"/>
  <c r="F55" i="2"/>
  <c r="B55" i="2"/>
  <c r="G55" i="2"/>
  <c r="H55" i="2"/>
  <c r="H54" i="2"/>
  <c r="C57" i="2"/>
  <c r="D57" i="2"/>
  <c r="E57" i="2"/>
  <c r="F57" i="2"/>
  <c r="B57" i="2"/>
  <c r="G57" i="2"/>
  <c r="H57" i="2"/>
  <c r="H56" i="2"/>
  <c r="C59" i="2"/>
  <c r="D59" i="2"/>
  <c r="E59" i="2"/>
  <c r="F59" i="2"/>
  <c r="B59" i="2"/>
  <c r="G59" i="2"/>
  <c r="H59" i="2"/>
  <c r="H58" i="2"/>
  <c r="C61" i="2"/>
  <c r="D61" i="2"/>
  <c r="E61" i="2"/>
  <c r="F61" i="2"/>
  <c r="B61" i="2"/>
  <c r="G61" i="2"/>
  <c r="H61" i="2"/>
  <c r="H60" i="2"/>
  <c r="C63" i="2"/>
  <c r="D63" i="2"/>
  <c r="E63" i="2"/>
  <c r="F63" i="2"/>
  <c r="B63" i="2"/>
  <c r="G63" i="2"/>
  <c r="H63" i="2"/>
  <c r="H62" i="2"/>
  <c r="C65" i="2"/>
  <c r="D65" i="2"/>
  <c r="E65" i="2"/>
  <c r="F65" i="2"/>
  <c r="B65" i="2"/>
  <c r="G65" i="2"/>
  <c r="H65" i="2"/>
  <c r="H64" i="2"/>
  <c r="H43" i="2"/>
  <c r="H8" i="2"/>
  <c r="H11" i="1"/>
  <c r="H12" i="1"/>
  <c r="H13" i="1"/>
  <c r="H14" i="1"/>
  <c r="H15" i="1"/>
  <c r="F10" i="2"/>
  <c r="G10" i="2"/>
  <c r="H10" i="2"/>
  <c r="H16" i="1"/>
  <c r="H17" i="1"/>
  <c r="F12" i="2"/>
  <c r="F68" i="2"/>
  <c r="F13" i="2"/>
  <c r="F11" i="2"/>
  <c r="F66" i="2"/>
  <c r="F69" i="2"/>
  <c r="G69" i="2"/>
  <c r="H69" i="2"/>
  <c r="H67" i="2"/>
  <c r="H66" i="2"/>
  <c r="H68" i="2"/>
  <c r="H12" i="2"/>
  <c r="H18" i="1"/>
  <c r="F71" i="2"/>
  <c r="G71" i="2"/>
  <c r="H71" i="2"/>
  <c r="H70" i="2"/>
  <c r="H13" i="2"/>
  <c r="H19" i="1"/>
  <c r="H20" i="1"/>
  <c r="C2" i="5"/>
  <c r="C3" i="5"/>
  <c r="C4" i="5"/>
  <c r="C3" i="4"/>
  <c r="C22" i="4"/>
  <c r="D3" i="4"/>
  <c r="D22" i="4"/>
  <c r="E3" i="4"/>
  <c r="E22" i="4"/>
  <c r="F3" i="4"/>
  <c r="F22" i="4"/>
  <c r="B3" i="4"/>
  <c r="B22" i="4"/>
  <c r="G22" i="4"/>
  <c r="H22" i="4"/>
  <c r="H3" i="4"/>
  <c r="C4" i="4"/>
  <c r="C23" i="4"/>
  <c r="D4" i="4"/>
  <c r="D23" i="4"/>
  <c r="E4" i="4"/>
  <c r="E23" i="4"/>
  <c r="F4" i="4"/>
  <c r="F23" i="4"/>
  <c r="B4" i="4"/>
  <c r="B23" i="4"/>
  <c r="G23" i="4"/>
  <c r="H23" i="4"/>
  <c r="H4" i="4"/>
  <c r="C5" i="4"/>
  <c r="C24" i="4"/>
  <c r="D5" i="4"/>
  <c r="D24" i="4"/>
  <c r="E5" i="4"/>
  <c r="E24" i="4"/>
  <c r="F5" i="4"/>
  <c r="F24" i="4"/>
  <c r="B5" i="4"/>
  <c r="B24" i="4"/>
  <c r="G24" i="4"/>
  <c r="H24" i="4"/>
  <c r="H5" i="4"/>
  <c r="H6" i="4"/>
  <c r="C7" i="4"/>
  <c r="C26" i="4"/>
  <c r="D7" i="4"/>
  <c r="D26" i="4"/>
  <c r="E7" i="4"/>
  <c r="E26" i="4"/>
  <c r="F7" i="4"/>
  <c r="F26" i="4"/>
  <c r="B7" i="4"/>
  <c r="B26" i="4"/>
  <c r="G26" i="4"/>
  <c r="H26" i="4"/>
  <c r="H7" i="4"/>
  <c r="C8" i="4"/>
  <c r="C27" i="4"/>
  <c r="D8" i="4"/>
  <c r="D27" i="4"/>
  <c r="E8" i="4"/>
  <c r="E27" i="4"/>
  <c r="F8" i="4"/>
  <c r="F27" i="4"/>
  <c r="B8" i="4"/>
  <c r="B27" i="4"/>
  <c r="G27" i="4"/>
  <c r="H27" i="4"/>
  <c r="H8" i="4"/>
  <c r="C9" i="4"/>
  <c r="C28" i="4"/>
  <c r="D9" i="4"/>
  <c r="D28" i="4"/>
  <c r="E9" i="4"/>
  <c r="E28" i="4"/>
  <c r="F9" i="4"/>
  <c r="F28" i="4"/>
  <c r="B9" i="4"/>
  <c r="B28" i="4"/>
  <c r="G28" i="4"/>
  <c r="H28" i="4"/>
  <c r="H9" i="4"/>
  <c r="C10" i="4"/>
  <c r="C29" i="4"/>
  <c r="D10" i="4"/>
  <c r="D29" i="4"/>
  <c r="E10" i="4"/>
  <c r="E29" i="4"/>
  <c r="F10" i="4"/>
  <c r="F29" i="4"/>
  <c r="B10" i="4"/>
  <c r="B29" i="4"/>
  <c r="G29" i="4"/>
  <c r="H29" i="4"/>
  <c r="H10" i="4"/>
  <c r="C12" i="4"/>
  <c r="C32" i="4"/>
  <c r="D12" i="4"/>
  <c r="D32" i="4"/>
  <c r="E12" i="4"/>
  <c r="E32" i="4"/>
  <c r="F12" i="4"/>
  <c r="F32" i="4"/>
  <c r="B12" i="4"/>
  <c r="B32" i="4"/>
  <c r="G32" i="4"/>
  <c r="H32" i="4"/>
  <c r="H12" i="4"/>
  <c r="C13" i="4"/>
  <c r="C33" i="4"/>
  <c r="D13" i="4"/>
  <c r="D33" i="4"/>
  <c r="E13" i="4"/>
  <c r="E33" i="4"/>
  <c r="F13" i="4"/>
  <c r="F33" i="4"/>
  <c r="B13" i="4"/>
  <c r="B33" i="4"/>
  <c r="G33" i="4"/>
  <c r="H33" i="4"/>
  <c r="H13" i="4"/>
  <c r="C14" i="4"/>
  <c r="C34" i="4"/>
  <c r="D14" i="4"/>
  <c r="D34" i="4"/>
  <c r="E14" i="4"/>
  <c r="E34" i="4"/>
  <c r="F14" i="4"/>
  <c r="F34" i="4"/>
  <c r="B14" i="4"/>
  <c r="B34" i="4"/>
  <c r="G34" i="4"/>
  <c r="H34" i="4"/>
  <c r="H14" i="4"/>
  <c r="C15" i="4"/>
  <c r="C35" i="4"/>
  <c r="D15" i="4"/>
  <c r="D35" i="4"/>
  <c r="E15" i="4"/>
  <c r="E35" i="4"/>
  <c r="F15" i="4"/>
  <c r="F35" i="4"/>
  <c r="B15" i="4"/>
  <c r="B35" i="4"/>
  <c r="G35" i="4"/>
  <c r="H35" i="4"/>
  <c r="H15" i="4"/>
  <c r="C16" i="4"/>
  <c r="C36" i="4"/>
  <c r="D16" i="4"/>
  <c r="D36" i="4"/>
  <c r="E16" i="4"/>
  <c r="E36" i="4"/>
  <c r="F16" i="4"/>
  <c r="F36" i="4"/>
  <c r="B16" i="4"/>
  <c r="B36" i="4"/>
  <c r="G36" i="4"/>
  <c r="H36" i="4"/>
  <c r="H16" i="4"/>
  <c r="H17" i="4"/>
  <c r="H18" i="4"/>
  <c r="G25" i="2"/>
  <c r="G2" i="2"/>
  <c r="G2" i="1"/>
  <c r="G3" i="4"/>
  <c r="G4" i="4"/>
  <c r="G5" i="4"/>
  <c r="G6" i="4"/>
  <c r="G7" i="4"/>
  <c r="G8" i="4"/>
  <c r="G9" i="4"/>
  <c r="G10" i="4"/>
  <c r="G12" i="4"/>
  <c r="G13" i="4"/>
  <c r="G14" i="4"/>
  <c r="G15" i="4"/>
  <c r="G16" i="4"/>
  <c r="G17" i="4"/>
  <c r="G18" i="4"/>
  <c r="H19" i="4"/>
  <c r="C5" i="5"/>
  <c r="C6" i="5"/>
  <c r="I18" i="2"/>
  <c r="I17" i="2"/>
  <c r="I20" i="2"/>
  <c r="I19" i="2"/>
  <c r="I22" i="2"/>
  <c r="I21" i="2"/>
  <c r="I24" i="2"/>
  <c r="I23" i="2"/>
  <c r="I25" i="2"/>
  <c r="I2" i="2"/>
  <c r="I2" i="1"/>
  <c r="I28" i="2"/>
  <c r="I27" i="2"/>
  <c r="I3" i="2"/>
  <c r="I3" i="1"/>
  <c r="I4" i="1"/>
  <c r="I32" i="2"/>
  <c r="I31" i="2"/>
  <c r="I4" i="2"/>
  <c r="I5" i="1"/>
  <c r="I35" i="2"/>
  <c r="I34" i="2"/>
  <c r="I5" i="2"/>
  <c r="I6" i="1"/>
  <c r="I6" i="2"/>
  <c r="I7" i="1"/>
  <c r="I39" i="2"/>
  <c r="I38" i="2"/>
  <c r="I41" i="2"/>
  <c r="I40" i="2"/>
  <c r="I37" i="2"/>
  <c r="I7" i="2"/>
  <c r="I8" i="1"/>
  <c r="I10" i="1"/>
  <c r="I45" i="2"/>
  <c r="I44" i="2"/>
  <c r="I47" i="2"/>
  <c r="I46" i="2"/>
  <c r="I49" i="2"/>
  <c r="I48" i="2"/>
  <c r="I51" i="2"/>
  <c r="I50" i="2"/>
  <c r="I53" i="2"/>
  <c r="I52" i="2"/>
  <c r="I55" i="2"/>
  <c r="I54" i="2"/>
  <c r="I57" i="2"/>
  <c r="I56" i="2"/>
  <c r="I59" i="2"/>
  <c r="I58" i="2"/>
  <c r="I61" i="2"/>
  <c r="I60" i="2"/>
  <c r="I63" i="2"/>
  <c r="I62" i="2"/>
  <c r="I65" i="2"/>
  <c r="I64" i="2"/>
  <c r="I43" i="2"/>
  <c r="I8" i="2"/>
  <c r="I11" i="1"/>
  <c r="I12" i="1"/>
  <c r="I13" i="1"/>
  <c r="I14" i="1"/>
  <c r="I15" i="1"/>
  <c r="I10" i="2"/>
  <c r="I16" i="1"/>
  <c r="I17" i="1"/>
  <c r="I69" i="2"/>
  <c r="I67" i="2"/>
  <c r="I66" i="2"/>
  <c r="I68" i="2"/>
  <c r="I12" i="2"/>
  <c r="I18" i="1"/>
  <c r="I71" i="2"/>
  <c r="I70" i="2"/>
  <c r="I13" i="2"/>
  <c r="I19" i="1"/>
  <c r="I20" i="1"/>
  <c r="D2" i="5"/>
  <c r="D3" i="5"/>
  <c r="D4" i="5"/>
  <c r="I22" i="4"/>
  <c r="I3" i="4"/>
  <c r="I23" i="4"/>
  <c r="I4" i="4"/>
  <c r="I24" i="4"/>
  <c r="I5" i="4"/>
  <c r="I6" i="4"/>
  <c r="I26" i="4"/>
  <c r="I7" i="4"/>
  <c r="I27" i="4"/>
  <c r="I8" i="4"/>
  <c r="I28" i="4"/>
  <c r="I9" i="4"/>
  <c r="I29" i="4"/>
  <c r="I10" i="4"/>
  <c r="I32" i="4"/>
  <c r="I12" i="4"/>
  <c r="I33" i="4"/>
  <c r="I13" i="4"/>
  <c r="I34" i="4"/>
  <c r="I14" i="4"/>
  <c r="I35" i="4"/>
  <c r="I15" i="4"/>
  <c r="I36" i="4"/>
  <c r="I16" i="4"/>
  <c r="I17" i="4"/>
  <c r="I18" i="4"/>
  <c r="I19" i="4"/>
  <c r="D5" i="5"/>
  <c r="D6" i="5"/>
  <c r="J18" i="2"/>
  <c r="J17" i="2"/>
  <c r="J20" i="2"/>
  <c r="J19" i="2"/>
  <c r="J22" i="2"/>
  <c r="J21" i="2"/>
  <c r="J24" i="2"/>
  <c r="J23" i="2"/>
  <c r="J25" i="2"/>
  <c r="J2" i="2"/>
  <c r="J2" i="1"/>
  <c r="J28" i="2"/>
  <c r="J27" i="2"/>
  <c r="J3" i="2"/>
  <c r="J3" i="1"/>
  <c r="J4" i="1"/>
  <c r="J32" i="2"/>
  <c r="J31" i="2"/>
  <c r="J4" i="2"/>
  <c r="J5" i="1"/>
  <c r="J35" i="2"/>
  <c r="J34" i="2"/>
  <c r="J5" i="2"/>
  <c r="J6" i="1"/>
  <c r="J6" i="2"/>
  <c r="J7" i="1"/>
  <c r="J39" i="2"/>
  <c r="J38" i="2"/>
  <c r="J41" i="2"/>
  <c r="J40" i="2"/>
  <c r="J37" i="2"/>
  <c r="J7" i="2"/>
  <c r="J8" i="1"/>
  <c r="J10" i="1"/>
  <c r="J45" i="2"/>
  <c r="J44" i="2"/>
  <c r="J47" i="2"/>
  <c r="J46" i="2"/>
  <c r="J49" i="2"/>
  <c r="J48" i="2"/>
  <c r="J51" i="2"/>
  <c r="J50" i="2"/>
  <c r="J53" i="2"/>
  <c r="J52" i="2"/>
  <c r="J55" i="2"/>
  <c r="J54" i="2"/>
  <c r="J57" i="2"/>
  <c r="J56" i="2"/>
  <c r="J59" i="2"/>
  <c r="J58" i="2"/>
  <c r="J61" i="2"/>
  <c r="J60" i="2"/>
  <c r="J63" i="2"/>
  <c r="J62" i="2"/>
  <c r="J65" i="2"/>
  <c r="J64" i="2"/>
  <c r="J43" i="2"/>
  <c r="J8" i="2"/>
  <c r="J11" i="1"/>
  <c r="J12" i="1"/>
  <c r="J13" i="1"/>
  <c r="J14" i="1"/>
  <c r="J15" i="1"/>
  <c r="J10" i="2"/>
  <c r="J16" i="1"/>
  <c r="J17" i="1"/>
  <c r="J69" i="2"/>
  <c r="J67" i="2"/>
  <c r="J66" i="2"/>
  <c r="J68" i="2"/>
  <c r="J12" i="2"/>
  <c r="J18" i="1"/>
  <c r="J71" i="2"/>
  <c r="J70" i="2"/>
  <c r="J13" i="2"/>
  <c r="J19" i="1"/>
  <c r="J20" i="1"/>
  <c r="E2" i="5"/>
  <c r="E3" i="5"/>
  <c r="E4" i="5"/>
  <c r="J22" i="4"/>
  <c r="J3" i="4"/>
  <c r="J23" i="4"/>
  <c r="J4" i="4"/>
  <c r="J24" i="4"/>
  <c r="J5" i="4"/>
  <c r="J6" i="4"/>
  <c r="J26" i="4"/>
  <c r="J7" i="4"/>
  <c r="J27" i="4"/>
  <c r="J8" i="4"/>
  <c r="J28" i="4"/>
  <c r="J9" i="4"/>
  <c r="J29" i="4"/>
  <c r="J10" i="4"/>
  <c r="J32" i="4"/>
  <c r="J12" i="4"/>
  <c r="J33" i="4"/>
  <c r="J13" i="4"/>
  <c r="J34" i="4"/>
  <c r="J14" i="4"/>
  <c r="J35" i="4"/>
  <c r="J15" i="4"/>
  <c r="J36" i="4"/>
  <c r="J16" i="4"/>
  <c r="J17" i="4"/>
  <c r="J18" i="4"/>
  <c r="J19" i="4"/>
  <c r="E5" i="5"/>
  <c r="E6" i="5"/>
  <c r="K18" i="2"/>
  <c r="K17" i="2"/>
  <c r="K20" i="2"/>
  <c r="K19" i="2"/>
  <c r="K22" i="2"/>
  <c r="K21" i="2"/>
  <c r="K24" i="2"/>
  <c r="K23" i="2"/>
  <c r="K25" i="2"/>
  <c r="K2" i="2"/>
  <c r="K2" i="1"/>
  <c r="K28" i="2"/>
  <c r="K27" i="2"/>
  <c r="K3" i="2"/>
  <c r="K3" i="1"/>
  <c r="K4" i="1"/>
  <c r="K32" i="2"/>
  <c r="K31" i="2"/>
  <c r="K4" i="2"/>
  <c r="K5" i="1"/>
  <c r="K35" i="2"/>
  <c r="K34" i="2"/>
  <c r="K5" i="2"/>
  <c r="K6" i="1"/>
  <c r="K6" i="2"/>
  <c r="K7" i="1"/>
  <c r="K39" i="2"/>
  <c r="K38" i="2"/>
  <c r="K41" i="2"/>
  <c r="K40" i="2"/>
  <c r="K37" i="2"/>
  <c r="K7" i="2"/>
  <c r="K8" i="1"/>
  <c r="W7" i="4"/>
  <c r="W20" i="4"/>
  <c r="W19" i="4"/>
  <c r="K10" i="1"/>
  <c r="K45" i="2"/>
  <c r="K44" i="2"/>
  <c r="K47" i="2"/>
  <c r="K46" i="2"/>
  <c r="K49" i="2"/>
  <c r="K48" i="2"/>
  <c r="K51" i="2"/>
  <c r="K50" i="2"/>
  <c r="K53" i="2"/>
  <c r="K52" i="2"/>
  <c r="K55" i="2"/>
  <c r="K54" i="2"/>
  <c r="K57" i="2"/>
  <c r="K56" i="2"/>
  <c r="K59" i="2"/>
  <c r="K58" i="2"/>
  <c r="K61" i="2"/>
  <c r="K60" i="2"/>
  <c r="K63" i="2"/>
  <c r="K62" i="2"/>
  <c r="K65" i="2"/>
  <c r="K64" i="2"/>
  <c r="K43" i="2"/>
  <c r="K8" i="2"/>
  <c r="K11" i="1"/>
  <c r="K12" i="1"/>
  <c r="K13" i="1"/>
  <c r="K14" i="1"/>
  <c r="K15" i="1"/>
  <c r="K10" i="2"/>
  <c r="K16" i="1"/>
  <c r="K17" i="1"/>
  <c r="K69" i="2"/>
  <c r="K67" i="2"/>
  <c r="K66" i="2"/>
  <c r="K68" i="2"/>
  <c r="K12" i="2"/>
  <c r="K18" i="1"/>
  <c r="K71" i="2"/>
  <c r="K70" i="2"/>
  <c r="K13" i="2"/>
  <c r="K19" i="1"/>
  <c r="K20" i="1"/>
  <c r="F2" i="5"/>
  <c r="F3" i="5"/>
  <c r="F4" i="5"/>
  <c r="K22" i="4"/>
  <c r="K3" i="4"/>
  <c r="K23" i="4"/>
  <c r="K4" i="4"/>
  <c r="K24" i="4"/>
  <c r="K5" i="4"/>
  <c r="K6" i="4"/>
  <c r="K26" i="4"/>
  <c r="K7" i="4"/>
  <c r="K27" i="4"/>
  <c r="K8" i="4"/>
  <c r="K28" i="4"/>
  <c r="K9" i="4"/>
  <c r="K29" i="4"/>
  <c r="K10" i="4"/>
  <c r="K32" i="4"/>
  <c r="K12" i="4"/>
  <c r="K33" i="4"/>
  <c r="K13" i="4"/>
  <c r="K34" i="4"/>
  <c r="K14" i="4"/>
  <c r="K35" i="4"/>
  <c r="K15" i="4"/>
  <c r="K36" i="4"/>
  <c r="K16" i="4"/>
  <c r="K17" i="4"/>
  <c r="K18" i="4"/>
  <c r="K19" i="4"/>
  <c r="F5" i="5"/>
  <c r="F6" i="5"/>
  <c r="G3" i="2"/>
  <c r="G3" i="1"/>
  <c r="G4" i="1"/>
  <c r="G31" i="2"/>
  <c r="G4" i="2"/>
  <c r="G5" i="1"/>
  <c r="G34" i="2"/>
  <c r="G5" i="2"/>
  <c r="G6" i="1"/>
  <c r="G6" i="2"/>
  <c r="G7" i="1"/>
  <c r="G37" i="2"/>
  <c r="G7" i="2"/>
  <c r="G8" i="1"/>
  <c r="G10" i="1"/>
  <c r="G44" i="2"/>
  <c r="G46" i="2"/>
  <c r="G48" i="2"/>
  <c r="G50" i="2"/>
  <c r="G52" i="2"/>
  <c r="G54" i="2"/>
  <c r="G56" i="2"/>
  <c r="G58" i="2"/>
  <c r="G60" i="2"/>
  <c r="G62" i="2"/>
  <c r="G64" i="2"/>
  <c r="G43" i="2"/>
  <c r="G8" i="2"/>
  <c r="G11" i="1"/>
  <c r="G12" i="1"/>
  <c r="G13" i="1"/>
  <c r="G14" i="1"/>
  <c r="G15" i="1"/>
  <c r="G16" i="1"/>
  <c r="G17" i="1"/>
  <c r="G67" i="2"/>
  <c r="G66" i="2"/>
  <c r="G68" i="2"/>
  <c r="G12" i="2"/>
  <c r="G18" i="1"/>
  <c r="G70" i="2"/>
  <c r="G13" i="2"/>
  <c r="G19" i="1"/>
  <c r="G20" i="1"/>
  <c r="B2" i="5"/>
  <c r="B3" i="5"/>
  <c r="B4" i="5"/>
  <c r="F6" i="4"/>
  <c r="F17" i="4"/>
  <c r="F18" i="4"/>
  <c r="G19" i="4"/>
  <c r="B5" i="5"/>
  <c r="B6" i="5"/>
  <c r="D6" i="4"/>
  <c r="D17" i="4"/>
  <c r="D18" i="4"/>
  <c r="C6" i="4"/>
  <c r="C17" i="4"/>
  <c r="C18" i="4"/>
  <c r="D19" i="4"/>
  <c r="E6" i="4"/>
  <c r="E17" i="4"/>
  <c r="E18" i="4"/>
  <c r="E19" i="4"/>
  <c r="F19" i="4"/>
  <c r="B6" i="4"/>
  <c r="B17" i="4"/>
  <c r="B18" i="4"/>
  <c r="C19" i="4"/>
  <c r="B1" i="5"/>
  <c r="C1" i="5"/>
  <c r="D1" i="5"/>
  <c r="E1" i="5"/>
  <c r="F1" i="5"/>
  <c r="H28" i="3"/>
  <c r="I28" i="3"/>
  <c r="J28" i="3"/>
  <c r="K28" i="3"/>
  <c r="F91" i="2"/>
  <c r="G22" i="1"/>
  <c r="G91" i="2"/>
  <c r="H22" i="1"/>
  <c r="H91" i="2"/>
  <c r="H29" i="3"/>
  <c r="I22" i="1"/>
  <c r="I91" i="2"/>
  <c r="I29" i="3"/>
  <c r="J22" i="1"/>
  <c r="J91" i="2"/>
  <c r="J29" i="3"/>
  <c r="K22" i="1"/>
  <c r="K91" i="2"/>
  <c r="K29" i="3"/>
  <c r="G29" i="3"/>
  <c r="G28" i="3"/>
  <c r="C96" i="2"/>
  <c r="C90" i="2"/>
  <c r="C93" i="2"/>
  <c r="C98" i="2"/>
  <c r="D96" i="2"/>
  <c r="D90" i="2"/>
  <c r="D93" i="2"/>
  <c r="D98" i="2"/>
  <c r="E96" i="2"/>
  <c r="E90" i="2"/>
  <c r="E93" i="2"/>
  <c r="E98" i="2"/>
  <c r="F96" i="2"/>
  <c r="F93" i="2"/>
  <c r="F98" i="2"/>
  <c r="B96" i="2"/>
  <c r="B90" i="2"/>
  <c r="B93" i="2"/>
  <c r="B98" i="2"/>
  <c r="C95" i="2"/>
  <c r="D95" i="2"/>
  <c r="E95" i="2"/>
  <c r="F95" i="2"/>
  <c r="G95" i="2"/>
  <c r="H95" i="2"/>
  <c r="I95" i="2"/>
  <c r="J95" i="2"/>
  <c r="K95" i="2"/>
  <c r="G93" i="2"/>
  <c r="H93" i="2"/>
  <c r="I93" i="2"/>
  <c r="J93" i="2"/>
  <c r="K93" i="2"/>
  <c r="C91" i="2"/>
  <c r="D91" i="2"/>
  <c r="E91" i="2"/>
  <c r="C92" i="2"/>
  <c r="D92" i="2"/>
  <c r="E92" i="2"/>
  <c r="B91" i="2"/>
  <c r="B92" i="2"/>
  <c r="C89" i="2"/>
  <c r="D89" i="2"/>
  <c r="E89" i="2"/>
  <c r="F89" i="2"/>
  <c r="G89" i="2"/>
  <c r="H89" i="2"/>
  <c r="I89" i="2"/>
  <c r="J89" i="2"/>
  <c r="K89" i="2"/>
  <c r="C8" i="5"/>
  <c r="E8" i="5"/>
  <c r="D8" i="5"/>
  <c r="K92" i="2"/>
  <c r="E12" i="5"/>
  <c r="E16" i="5"/>
  <c r="D12" i="5"/>
  <c r="D16" i="5"/>
  <c r="C12" i="5"/>
  <c r="C16" i="5"/>
  <c r="B18" i="5"/>
  <c r="B20" i="5"/>
  <c r="C19" i="5"/>
  <c r="J30" i="3"/>
  <c r="I30" i="3"/>
  <c r="H30" i="3"/>
  <c r="G19" i="3"/>
  <c r="H34" i="3"/>
  <c r="G8" i="3"/>
  <c r="G9" i="3"/>
  <c r="G34" i="3"/>
  <c r="G35" i="3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79" i="2"/>
  <c r="D79" i="2"/>
  <c r="E79" i="2"/>
  <c r="C80" i="2"/>
  <c r="D80" i="2"/>
  <c r="E80" i="2"/>
  <c r="C81" i="2"/>
  <c r="D81" i="2"/>
  <c r="E81" i="2"/>
  <c r="C82" i="2"/>
  <c r="D82" i="2"/>
  <c r="E82" i="2"/>
  <c r="C83" i="2"/>
  <c r="D83" i="2"/>
  <c r="E83" i="2"/>
  <c r="C84" i="2"/>
  <c r="D84" i="2"/>
  <c r="E84" i="2"/>
  <c r="C85" i="2"/>
  <c r="D85" i="2"/>
  <c r="E85" i="2"/>
  <c r="C86" i="2"/>
  <c r="D86" i="2"/>
  <c r="E86" i="2"/>
  <c r="B84" i="2"/>
  <c r="B85" i="2"/>
  <c r="B86" i="2"/>
  <c r="B83" i="2"/>
  <c r="B82" i="2"/>
  <c r="B77" i="2"/>
  <c r="B78" i="2"/>
  <c r="B79" i="2"/>
  <c r="B80" i="2"/>
  <c r="B81" i="2"/>
  <c r="B76" i="2"/>
  <c r="B75" i="2"/>
  <c r="B74" i="2"/>
  <c r="C73" i="2"/>
  <c r="D73" i="2"/>
  <c r="E73" i="2"/>
  <c r="F73" i="2"/>
  <c r="G73" i="2"/>
  <c r="H73" i="2"/>
  <c r="I73" i="2"/>
  <c r="J73" i="2"/>
  <c r="K73" i="2"/>
  <c r="AE6" i="4"/>
  <c r="AF6" i="4"/>
  <c r="H33" i="3"/>
  <c r="AG6" i="4"/>
  <c r="I33" i="3"/>
  <c r="AH6" i="4"/>
  <c r="J33" i="3"/>
  <c r="AI6" i="4"/>
  <c r="K33" i="3"/>
  <c r="G33" i="3"/>
  <c r="AF3" i="4"/>
  <c r="H39" i="3"/>
  <c r="AG3" i="4"/>
  <c r="I39" i="3"/>
  <c r="AH3" i="4"/>
  <c r="J39" i="3"/>
  <c r="AI3" i="4"/>
  <c r="K39" i="3"/>
  <c r="AE7" i="4"/>
  <c r="AF7" i="4"/>
  <c r="H40" i="3"/>
  <c r="AG7" i="4"/>
  <c r="I40" i="3"/>
  <c r="AH7" i="4"/>
  <c r="J40" i="3"/>
  <c r="AI7" i="4"/>
  <c r="K40" i="3"/>
  <c r="G40" i="3"/>
  <c r="AE3" i="4"/>
  <c r="G39" i="3"/>
  <c r="AB16" i="4"/>
  <c r="AB6" i="4"/>
  <c r="AB7" i="4"/>
  <c r="AB8" i="4"/>
  <c r="AB3" i="4"/>
  <c r="AB4" i="4"/>
  <c r="AB20" i="4"/>
  <c r="AC16" i="4"/>
  <c r="AC6" i="4"/>
  <c r="AC7" i="4"/>
  <c r="AC8" i="4"/>
  <c r="AC3" i="4"/>
  <c r="AC4" i="4"/>
  <c r="AC20" i="4"/>
  <c r="AD16" i="4"/>
  <c r="AD3" i="4"/>
  <c r="AD4" i="4"/>
  <c r="AD20" i="4"/>
  <c r="AE20" i="4"/>
  <c r="AF4" i="4"/>
  <c r="AF20" i="4"/>
  <c r="AG4" i="4"/>
  <c r="AG20" i="4"/>
  <c r="AH4" i="4"/>
  <c r="AH20" i="4"/>
  <c r="AI4" i="4"/>
  <c r="AI20" i="4"/>
  <c r="AA16" i="4"/>
  <c r="AA6" i="4"/>
  <c r="AA7" i="4"/>
  <c r="AA8" i="4"/>
  <c r="AA3" i="4"/>
  <c r="AA4" i="4"/>
  <c r="AA20" i="4"/>
  <c r="AB19" i="4"/>
  <c r="AC19" i="4"/>
  <c r="AA19" i="4"/>
  <c r="AB21" i="4"/>
  <c r="AC21" i="4"/>
  <c r="AD21" i="4"/>
  <c r="Z3" i="4"/>
  <c r="Z4" i="4"/>
  <c r="AA21" i="4"/>
  <c r="AB22" i="4"/>
  <c r="AC22" i="4"/>
  <c r="AD22" i="4"/>
  <c r="Z6" i="4"/>
  <c r="Z7" i="4"/>
  <c r="Z8" i="4"/>
  <c r="AA22" i="4"/>
  <c r="AE2" i="4"/>
  <c r="AF2" i="4"/>
  <c r="AG2" i="4"/>
  <c r="AH2" i="4"/>
  <c r="AI2" i="4"/>
  <c r="Z16" i="4"/>
  <c r="AA1" i="4"/>
  <c r="AB1" i="4"/>
  <c r="AC1" i="4"/>
  <c r="AD1" i="4"/>
  <c r="AE1" i="4"/>
  <c r="AF1" i="4"/>
  <c r="AG1" i="4"/>
  <c r="AH1" i="4"/>
  <c r="AI1" i="4"/>
  <c r="T8" i="4"/>
  <c r="R11" i="4"/>
  <c r="S11" i="4"/>
  <c r="T11" i="4"/>
  <c r="T12" i="4"/>
  <c r="T16" i="4"/>
  <c r="T3" i="4"/>
  <c r="T9" i="4"/>
  <c r="T13" i="4"/>
  <c r="T17" i="4"/>
  <c r="T4" i="4"/>
  <c r="T2" i="4"/>
  <c r="H4" i="3"/>
  <c r="U8" i="4"/>
  <c r="U11" i="4"/>
  <c r="U12" i="4"/>
  <c r="U16" i="4"/>
  <c r="U3" i="4"/>
  <c r="U9" i="4"/>
  <c r="U13" i="4"/>
  <c r="U17" i="4"/>
  <c r="U4" i="4"/>
  <c r="U2" i="4"/>
  <c r="I4" i="3"/>
  <c r="V8" i="4"/>
  <c r="V11" i="4"/>
  <c r="V12" i="4"/>
  <c r="V16" i="4"/>
  <c r="V3" i="4"/>
  <c r="V9" i="4"/>
  <c r="V13" i="4"/>
  <c r="V17" i="4"/>
  <c r="V4" i="4"/>
  <c r="V2" i="4"/>
  <c r="J4" i="3"/>
  <c r="W8" i="4"/>
  <c r="W11" i="4"/>
  <c r="W12" i="4"/>
  <c r="W16" i="4"/>
  <c r="W3" i="4"/>
  <c r="W9" i="4"/>
  <c r="W13" i="4"/>
  <c r="W17" i="4"/>
  <c r="W4" i="4"/>
  <c r="W2" i="4"/>
  <c r="K4" i="3"/>
  <c r="T10" i="4"/>
  <c r="T14" i="4"/>
  <c r="T18" i="4"/>
  <c r="T5" i="4"/>
  <c r="H7" i="3"/>
  <c r="U10" i="4"/>
  <c r="U14" i="4"/>
  <c r="U18" i="4"/>
  <c r="U5" i="4"/>
  <c r="I7" i="3"/>
  <c r="V10" i="4"/>
  <c r="V14" i="4"/>
  <c r="V18" i="4"/>
  <c r="V5" i="4"/>
  <c r="J7" i="3"/>
  <c r="W10" i="4"/>
  <c r="W14" i="4"/>
  <c r="W18" i="4"/>
  <c r="W5" i="4"/>
  <c r="K7" i="3"/>
  <c r="S10" i="4"/>
  <c r="S14" i="4"/>
  <c r="S18" i="4"/>
  <c r="S5" i="4"/>
  <c r="G7" i="3"/>
  <c r="S8" i="4"/>
  <c r="S12" i="4"/>
  <c r="S16" i="4"/>
  <c r="S3" i="4"/>
  <c r="S9" i="4"/>
  <c r="S13" i="4"/>
  <c r="S17" i="4"/>
  <c r="S4" i="4"/>
  <c r="S2" i="4"/>
  <c r="G4" i="3"/>
  <c r="P23" i="4"/>
  <c r="P24" i="4"/>
  <c r="P22" i="4"/>
  <c r="Q23" i="4"/>
  <c r="Q24" i="4"/>
  <c r="Q22" i="4"/>
  <c r="R23" i="4"/>
  <c r="R24" i="4"/>
  <c r="R22" i="4"/>
  <c r="O23" i="4"/>
  <c r="O24" i="4"/>
  <c r="O22" i="4"/>
  <c r="O16" i="4"/>
  <c r="O17" i="4"/>
  <c r="O18" i="4"/>
  <c r="O15" i="4"/>
  <c r="P16" i="4"/>
  <c r="P17" i="4"/>
  <c r="P18" i="4"/>
  <c r="P15" i="4"/>
  <c r="Q16" i="4"/>
  <c r="Q17" i="4"/>
  <c r="Q18" i="4"/>
  <c r="Q15" i="4"/>
  <c r="R16" i="4"/>
  <c r="R17" i="4"/>
  <c r="R18" i="4"/>
  <c r="R15" i="4"/>
  <c r="N16" i="4"/>
  <c r="N17" i="4"/>
  <c r="N18" i="4"/>
  <c r="N15" i="4"/>
  <c r="N11" i="4"/>
  <c r="Q11" i="4"/>
  <c r="P11" i="4"/>
  <c r="O11" i="4"/>
  <c r="O5" i="4"/>
  <c r="P5" i="4"/>
  <c r="Q5" i="4"/>
  <c r="R5" i="4"/>
  <c r="N5" i="4"/>
  <c r="O2" i="4"/>
  <c r="P2" i="4"/>
  <c r="Q2" i="4"/>
  <c r="R2" i="4"/>
  <c r="N2" i="4"/>
  <c r="O1" i="4"/>
  <c r="P1" i="4"/>
  <c r="Q1" i="4"/>
  <c r="R1" i="4"/>
  <c r="S1" i="4"/>
  <c r="T1" i="4"/>
  <c r="U1" i="4"/>
  <c r="V1" i="4"/>
  <c r="W1" i="4"/>
  <c r="B37" i="4"/>
  <c r="C37" i="4"/>
  <c r="D37" i="4"/>
  <c r="E37" i="4"/>
  <c r="F37" i="4"/>
  <c r="C25" i="4"/>
  <c r="D25" i="4"/>
  <c r="E25" i="4"/>
  <c r="F25" i="4"/>
  <c r="B25" i="4"/>
  <c r="C1" i="4"/>
  <c r="D1" i="4"/>
  <c r="E1" i="4"/>
  <c r="F1" i="4"/>
  <c r="G1" i="4"/>
  <c r="H1" i="4"/>
  <c r="I1" i="4"/>
  <c r="J1" i="4"/>
  <c r="K1" i="4"/>
  <c r="B47" i="3"/>
  <c r="B25" i="3"/>
  <c r="B49" i="3"/>
  <c r="K30" i="3"/>
  <c r="F12" i="5"/>
  <c r="F16" i="5"/>
  <c r="G13" i="3"/>
  <c r="G11" i="3"/>
  <c r="H36" i="3"/>
  <c r="G14" i="3"/>
  <c r="H6" i="3"/>
  <c r="G37" i="3"/>
  <c r="G12" i="3"/>
  <c r="G10" i="3"/>
  <c r="G5" i="3"/>
  <c r="C10" i="5"/>
  <c r="C18" i="5"/>
  <c r="C20" i="5"/>
  <c r="G6" i="3"/>
  <c r="G36" i="3"/>
  <c r="S15" i="4"/>
  <c r="D39" i="2"/>
  <c r="E39" i="2"/>
  <c r="F39" i="2"/>
  <c r="C39" i="2"/>
  <c r="C30" i="2"/>
  <c r="D30" i="2"/>
  <c r="E30" i="2"/>
  <c r="F30" i="2"/>
  <c r="G30" i="2"/>
  <c r="H30" i="2"/>
  <c r="I30" i="2"/>
  <c r="J30" i="2"/>
  <c r="K30" i="2"/>
  <c r="B25" i="2"/>
  <c r="F24" i="2"/>
  <c r="E24" i="2"/>
  <c r="D24" i="2"/>
  <c r="C24" i="2"/>
  <c r="F20" i="2"/>
  <c r="E20" i="2"/>
  <c r="D20" i="2"/>
  <c r="C20" i="2"/>
  <c r="D18" i="2"/>
  <c r="E18" i="2"/>
  <c r="F18" i="2"/>
  <c r="C18" i="2"/>
  <c r="F25" i="2"/>
  <c r="E25" i="2"/>
  <c r="F26" i="2"/>
  <c r="D25" i="2"/>
  <c r="C25" i="2"/>
  <c r="C16" i="2"/>
  <c r="D16" i="2"/>
  <c r="E16" i="2"/>
  <c r="F16" i="2"/>
  <c r="G16" i="2"/>
  <c r="H16" i="2"/>
  <c r="I16" i="2"/>
  <c r="J16" i="2"/>
  <c r="K16" i="2"/>
  <c r="C9" i="2"/>
  <c r="D9" i="2"/>
  <c r="E9" i="2"/>
  <c r="F9" i="2"/>
  <c r="C10" i="2"/>
  <c r="D10" i="2"/>
  <c r="E10" i="2"/>
  <c r="C12" i="2"/>
  <c r="D12" i="2"/>
  <c r="D68" i="2"/>
  <c r="E12" i="2"/>
  <c r="E68" i="2"/>
  <c r="C13" i="2"/>
  <c r="C70" i="2"/>
  <c r="D13" i="2"/>
  <c r="D70" i="2"/>
  <c r="E13" i="2"/>
  <c r="E70" i="2"/>
  <c r="F4" i="1"/>
  <c r="F12" i="1"/>
  <c r="F13" i="1"/>
  <c r="F15" i="1"/>
  <c r="F17" i="1"/>
  <c r="F67" i="2"/>
  <c r="B13" i="2"/>
  <c r="B70" i="2"/>
  <c r="B12" i="2"/>
  <c r="B68" i="2"/>
  <c r="B10" i="2"/>
  <c r="B9" i="2"/>
  <c r="C3" i="2"/>
  <c r="C27" i="2"/>
  <c r="D3" i="2"/>
  <c r="D27" i="2"/>
  <c r="E3" i="2"/>
  <c r="E27" i="2"/>
  <c r="C6" i="2"/>
  <c r="D6" i="2"/>
  <c r="E6" i="2"/>
  <c r="F6" i="2"/>
  <c r="C7" i="2"/>
  <c r="C37" i="2"/>
  <c r="C40" i="2"/>
  <c r="D7" i="2"/>
  <c r="D37" i="2"/>
  <c r="D40" i="2"/>
  <c r="E7" i="2"/>
  <c r="E37" i="2"/>
  <c r="E40" i="2"/>
  <c r="F41" i="2"/>
  <c r="C8" i="2"/>
  <c r="C43" i="2"/>
  <c r="D8" i="2"/>
  <c r="D43" i="2"/>
  <c r="E8" i="2"/>
  <c r="E43" i="2"/>
  <c r="F8" i="2"/>
  <c r="F43" i="2"/>
  <c r="B8" i="2"/>
  <c r="B43" i="2"/>
  <c r="B7" i="2"/>
  <c r="B37" i="2"/>
  <c r="B40" i="2"/>
  <c r="B6" i="2"/>
  <c r="B3" i="2"/>
  <c r="B27" i="2"/>
  <c r="C1" i="2"/>
  <c r="D1" i="2"/>
  <c r="E1" i="2"/>
  <c r="F1" i="2"/>
  <c r="G1" i="2"/>
  <c r="C1" i="1"/>
  <c r="D1" i="1"/>
  <c r="E1" i="1"/>
  <c r="F1" i="1"/>
  <c r="E12" i="1"/>
  <c r="E4" i="1"/>
  <c r="E13" i="1"/>
  <c r="E15" i="1"/>
  <c r="E17" i="1"/>
  <c r="E20" i="1"/>
  <c r="E22" i="1"/>
  <c r="D12" i="1"/>
  <c r="C12" i="1"/>
  <c r="B12" i="1"/>
  <c r="D4" i="1"/>
  <c r="D13" i="1"/>
  <c r="D15" i="1"/>
  <c r="D17" i="1"/>
  <c r="D20" i="1"/>
  <c r="D22" i="1"/>
  <c r="C4" i="1"/>
  <c r="B4" i="1"/>
  <c r="D19" i="5"/>
  <c r="H19" i="3"/>
  <c r="D28" i="2"/>
  <c r="H10" i="3"/>
  <c r="H14" i="3"/>
  <c r="I34" i="3"/>
  <c r="H12" i="3"/>
  <c r="H8" i="3"/>
  <c r="H37" i="3"/>
  <c r="H11" i="3"/>
  <c r="H35" i="3"/>
  <c r="I36" i="3"/>
  <c r="D10" i="5"/>
  <c r="D18" i="5"/>
  <c r="D20" i="5"/>
  <c r="H5" i="3"/>
  <c r="H9" i="3"/>
  <c r="I6" i="3"/>
  <c r="H13" i="3"/>
  <c r="T15" i="4"/>
  <c r="C11" i="2"/>
  <c r="C66" i="2"/>
  <c r="B11" i="2"/>
  <c r="B66" i="2"/>
  <c r="B69" i="2"/>
  <c r="B71" i="2"/>
  <c r="D11" i="2"/>
  <c r="D66" i="2"/>
  <c r="D67" i="2"/>
  <c r="F20" i="1"/>
  <c r="F22" i="1"/>
  <c r="B13" i="1"/>
  <c r="B15" i="1"/>
  <c r="B17" i="1"/>
  <c r="B20" i="1"/>
  <c r="B22" i="1"/>
  <c r="C28" i="2"/>
  <c r="C68" i="2"/>
  <c r="F70" i="2"/>
  <c r="C13" i="1"/>
  <c r="C15" i="1"/>
  <c r="C17" i="1"/>
  <c r="C20" i="1"/>
  <c r="C22" i="1"/>
  <c r="E41" i="2"/>
  <c r="E28" i="2"/>
  <c r="E11" i="2"/>
  <c r="E66" i="2"/>
  <c r="E67" i="2"/>
  <c r="C26" i="2"/>
  <c r="C41" i="2"/>
  <c r="D41" i="2"/>
  <c r="D26" i="2"/>
  <c r="E26" i="2"/>
  <c r="F28" i="2"/>
  <c r="E19" i="5"/>
  <c r="I19" i="3"/>
  <c r="I37" i="3"/>
  <c r="J36" i="3"/>
  <c r="K36" i="3"/>
  <c r="K6" i="3"/>
  <c r="J6" i="3"/>
  <c r="I8" i="3"/>
  <c r="I14" i="3"/>
  <c r="I13" i="3"/>
  <c r="I9" i="3"/>
  <c r="I35" i="3"/>
  <c r="I12" i="3"/>
  <c r="K34" i="3"/>
  <c r="J34" i="3"/>
  <c r="I11" i="3"/>
  <c r="I10" i="3"/>
  <c r="E10" i="5"/>
  <c r="E18" i="5"/>
  <c r="I5" i="3"/>
  <c r="C67" i="2"/>
  <c r="C69" i="2"/>
  <c r="C71" i="2"/>
  <c r="B67" i="2"/>
  <c r="E69" i="2"/>
  <c r="E71" i="2"/>
  <c r="D69" i="2"/>
  <c r="D71" i="2"/>
  <c r="E20" i="5"/>
  <c r="K35" i="3"/>
  <c r="J35" i="3"/>
  <c r="J11" i="3"/>
  <c r="K11" i="3"/>
  <c r="K9" i="3"/>
  <c r="J9" i="3"/>
  <c r="J5" i="3"/>
  <c r="K13" i="3"/>
  <c r="J13" i="3"/>
  <c r="K12" i="3"/>
  <c r="J12" i="3"/>
  <c r="K14" i="3"/>
  <c r="J14" i="3"/>
  <c r="K10" i="3"/>
  <c r="J10" i="3"/>
  <c r="K8" i="3"/>
  <c r="J8" i="3"/>
  <c r="K37" i="3"/>
  <c r="J37" i="3"/>
  <c r="U15" i="4"/>
  <c r="G26" i="2"/>
  <c r="K5" i="3"/>
  <c r="F10" i="5"/>
  <c r="F18" i="5"/>
  <c r="F19" i="5"/>
  <c r="J19" i="3"/>
  <c r="V15" i="4"/>
  <c r="F20" i="5"/>
  <c r="K19" i="3"/>
  <c r="G46" i="3"/>
  <c r="G24" i="3"/>
  <c r="G41" i="3"/>
  <c r="G16" i="3"/>
  <c r="G17" i="3"/>
  <c r="G23" i="3"/>
  <c r="G45" i="3"/>
  <c r="G18" i="3"/>
  <c r="G21" i="3"/>
  <c r="G42" i="3"/>
  <c r="G20" i="3"/>
  <c r="G43" i="3"/>
  <c r="G44" i="3"/>
  <c r="G22" i="3"/>
  <c r="W15" i="4"/>
  <c r="H26" i="2"/>
  <c r="G25" i="3"/>
  <c r="G47" i="3"/>
  <c r="I26" i="2"/>
  <c r="G49" i="3"/>
  <c r="H42" i="3"/>
  <c r="H44" i="3"/>
  <c r="H46" i="3"/>
  <c r="H18" i="3"/>
  <c r="H22" i="3"/>
  <c r="H24" i="3"/>
  <c r="H21" i="3"/>
  <c r="H17" i="3"/>
  <c r="H41" i="3"/>
  <c r="H43" i="3"/>
  <c r="H45" i="3"/>
  <c r="H23" i="3"/>
  <c r="H20" i="3"/>
  <c r="H16" i="3"/>
  <c r="H25" i="3"/>
  <c r="J26" i="2"/>
  <c r="K26" i="2"/>
  <c r="H47" i="3"/>
  <c r="H49" i="3"/>
  <c r="I22" i="3"/>
  <c r="I18" i="3"/>
  <c r="I24" i="3"/>
  <c r="I42" i="3"/>
  <c r="I44" i="3"/>
  <c r="I46" i="3"/>
  <c r="I21" i="3"/>
  <c r="I17" i="3"/>
  <c r="I41" i="3"/>
  <c r="I43" i="3"/>
  <c r="I45" i="3"/>
  <c r="I23" i="3"/>
  <c r="I20" i="3"/>
  <c r="I16" i="3"/>
  <c r="I25" i="3"/>
  <c r="J22" i="3"/>
  <c r="J44" i="3"/>
  <c r="J20" i="3"/>
  <c r="J16" i="3"/>
  <c r="J42" i="3"/>
  <c r="J46" i="3"/>
  <c r="J18" i="3"/>
  <c r="J24" i="3"/>
  <c r="J21" i="3"/>
  <c r="J17" i="3"/>
  <c r="J41" i="3"/>
  <c r="J43" i="3"/>
  <c r="J45" i="3"/>
  <c r="J23" i="3"/>
  <c r="I47" i="3"/>
  <c r="K20" i="3"/>
  <c r="K16" i="3"/>
  <c r="K22" i="3"/>
  <c r="K44" i="3"/>
  <c r="K41" i="3"/>
  <c r="K43" i="3"/>
  <c r="K42" i="3"/>
  <c r="K46" i="3"/>
  <c r="K18" i="3"/>
  <c r="K45" i="3"/>
  <c r="K23" i="3"/>
  <c r="K24" i="3"/>
  <c r="K21" i="3"/>
  <c r="K17" i="3"/>
  <c r="I49" i="3"/>
  <c r="J47" i="3"/>
  <c r="K47" i="3"/>
  <c r="K25" i="3"/>
  <c r="J25" i="3"/>
  <c r="J49" i="3"/>
  <c r="K49" i="3"/>
  <c r="J11" i="2"/>
  <c r="I11" i="2"/>
  <c r="G11" i="2"/>
  <c r="K11" i="2"/>
  <c r="H11" i="2"/>
</calcChain>
</file>

<file path=xl/sharedStrings.xml><?xml version="1.0" encoding="utf-8"?>
<sst xmlns="http://schemas.openxmlformats.org/spreadsheetml/2006/main" count="250" uniqueCount="149">
  <si>
    <t>Particulars</t>
  </si>
  <si>
    <t>Revenue from operations</t>
  </si>
  <si>
    <t>Other income</t>
  </si>
  <si>
    <t>Total Income</t>
  </si>
  <si>
    <t>Cost of materials consumed</t>
  </si>
  <si>
    <t>Purchases of stock-in-trade</t>
  </si>
  <si>
    <t>Changes in inventories of FG and WIP</t>
  </si>
  <si>
    <t>Employee benefits expenses</t>
  </si>
  <si>
    <t>Finance costs</t>
  </si>
  <si>
    <t>Depreciation and amortisation expense</t>
  </si>
  <si>
    <t>Other expenses</t>
  </si>
  <si>
    <t>TOTAL EXPENSES</t>
  </si>
  <si>
    <t>Profit before exceptional items,share of equity accounted investee and tax</t>
  </si>
  <si>
    <t>Share of equity accounted investee and tax</t>
  </si>
  <si>
    <t>Profit before exceptional items and tax</t>
  </si>
  <si>
    <t>Exceptional items (net)</t>
  </si>
  <si>
    <t>Profit before tax</t>
  </si>
  <si>
    <t>Current tax</t>
  </si>
  <si>
    <t>Deferred tax charge</t>
  </si>
  <si>
    <t>Profit after tax</t>
  </si>
  <si>
    <t>Dividend Paid</t>
  </si>
  <si>
    <t>Retained Earnings</t>
  </si>
  <si>
    <t>Tax</t>
  </si>
  <si>
    <t>Revenue Model</t>
  </si>
  <si>
    <t>Home Care</t>
  </si>
  <si>
    <t>Growth %</t>
  </si>
  <si>
    <t>Beauty and Personal Care</t>
  </si>
  <si>
    <t>Foods and Refreshment</t>
  </si>
  <si>
    <t>Others(Includes Exports, Consigments, etc.)</t>
  </si>
  <si>
    <t>Revenue</t>
  </si>
  <si>
    <t>Cost Drivers</t>
  </si>
  <si>
    <t>As % of Revenue</t>
  </si>
  <si>
    <t>No. of Employee</t>
  </si>
  <si>
    <t>Revenue Per employee(in cr)</t>
  </si>
  <si>
    <t>Adverstising &amp; Promotion</t>
  </si>
  <si>
    <t>Carriage &amp; Freight</t>
  </si>
  <si>
    <t>Royalty</t>
  </si>
  <si>
    <t>Fees for central services from Unilever grp</t>
  </si>
  <si>
    <t>Processing Chg</t>
  </si>
  <si>
    <t>Power and fuel</t>
  </si>
  <si>
    <t>Rent</t>
  </si>
  <si>
    <t>Travelling and car expenses</t>
  </si>
  <si>
    <t>Repairs</t>
  </si>
  <si>
    <t>CSR</t>
  </si>
  <si>
    <t>Miscellaneous</t>
  </si>
  <si>
    <t>Rate of Tax</t>
  </si>
  <si>
    <t>As % of Total Tax</t>
  </si>
  <si>
    <t>Assets</t>
  </si>
  <si>
    <t xml:space="preserve">Non-current assets </t>
  </si>
  <si>
    <t>Property, plant and equipment</t>
  </si>
  <si>
    <t>Capital work-in-progress</t>
  </si>
  <si>
    <t>Goodwill</t>
  </si>
  <si>
    <t>Other intangible assets</t>
  </si>
  <si>
    <t>Investments accounted for using the equity method</t>
  </si>
  <si>
    <t xml:space="preserve">Investments </t>
  </si>
  <si>
    <t xml:space="preserve">Loans </t>
  </si>
  <si>
    <t xml:space="preserve">Other financial assets </t>
  </si>
  <si>
    <t>Deferred tax assets (net)</t>
  </si>
  <si>
    <t>Non-current tax assets (net)</t>
  </si>
  <si>
    <t>Other non-current assets</t>
  </si>
  <si>
    <t>Current Assets</t>
  </si>
  <si>
    <t>Inventories</t>
  </si>
  <si>
    <t>Trade receivables</t>
  </si>
  <si>
    <t>Cash and cash equivalents</t>
  </si>
  <si>
    <t>Bank balances other than cash equivalents</t>
  </si>
  <si>
    <t>Other financial assets (current)</t>
  </si>
  <si>
    <t>Other current assets</t>
  </si>
  <si>
    <t>Assets held for sale</t>
  </si>
  <si>
    <t>Total Assets</t>
  </si>
  <si>
    <t>Equity And Liability</t>
  </si>
  <si>
    <t>Equity</t>
  </si>
  <si>
    <t>Equity share capital</t>
  </si>
  <si>
    <t>Other equity</t>
  </si>
  <si>
    <t>Non-controlling interests</t>
  </si>
  <si>
    <t>Liabilities</t>
  </si>
  <si>
    <t>Non-current liabilities</t>
  </si>
  <si>
    <t>Lease Liabilities</t>
  </si>
  <si>
    <t>Other financial liabilities (non-current)</t>
  </si>
  <si>
    <t>Provisions (non-current)</t>
  </si>
  <si>
    <t>Deferred tax liabilities (net)</t>
  </si>
  <si>
    <t>Non-current tax liabilities (net)</t>
  </si>
  <si>
    <t>Current Liabilities</t>
  </si>
  <si>
    <t>Borrowings</t>
  </si>
  <si>
    <t>Trade payables - micro &amp; small enterprises</t>
  </si>
  <si>
    <t>Trade payables - others</t>
  </si>
  <si>
    <t xml:space="preserve">Other financial liabilities </t>
  </si>
  <si>
    <t>Other current liabilities</t>
  </si>
  <si>
    <t>Provisions (current)</t>
  </si>
  <si>
    <t>Current Tax Liabilities</t>
  </si>
  <si>
    <t>Total equity and liability</t>
  </si>
  <si>
    <t>Working Capital Schedule</t>
  </si>
  <si>
    <t xml:space="preserve">Current Assets Other than cash </t>
  </si>
  <si>
    <t xml:space="preserve">Net Working Capital </t>
  </si>
  <si>
    <t>Changes in NWC</t>
  </si>
  <si>
    <t>Current Assets as days of sales:</t>
  </si>
  <si>
    <t>Current Liabilities as days of sales:</t>
  </si>
  <si>
    <t>Capex Schedule</t>
  </si>
  <si>
    <t>Property, Plant &amp; Equipment</t>
  </si>
  <si>
    <t>Owned</t>
  </si>
  <si>
    <t>Leased(Right of Use Assets)</t>
  </si>
  <si>
    <t>Other Intangible Assets</t>
  </si>
  <si>
    <t>Gross Long Term Assets:</t>
  </si>
  <si>
    <t>Accumulated Depreciation:</t>
  </si>
  <si>
    <t>Net Long Term Assets</t>
  </si>
  <si>
    <t>As a % of Opening GLTA</t>
  </si>
  <si>
    <t>Total Capex</t>
  </si>
  <si>
    <t>Maintenance Capex</t>
  </si>
  <si>
    <t>Growth Capex</t>
  </si>
  <si>
    <t>Debt Schedule</t>
  </si>
  <si>
    <t>Long term Borrowings</t>
  </si>
  <si>
    <t>Short Term Borrowing</t>
  </si>
  <si>
    <t>Total Borrowings</t>
  </si>
  <si>
    <t>Long Term Lease</t>
  </si>
  <si>
    <t>Short Term Lease</t>
  </si>
  <si>
    <t>Total Lease</t>
  </si>
  <si>
    <t>Interest expense on Loan on bank overdraft, security deposit and others </t>
  </si>
  <si>
    <t>Net interest on the net defined benefit liability</t>
  </si>
  <si>
    <t>Unwinding of discount on provisions and liabilities </t>
  </si>
  <si>
    <t>Unwinding of discount on employee and ex-employee related liabilities </t>
  </si>
  <si>
    <t>Interest on Lease Liabilities </t>
  </si>
  <si>
    <t>Interest on taxes and others </t>
  </si>
  <si>
    <t>Total Interest</t>
  </si>
  <si>
    <t>Cost of Borrowing (%)</t>
  </si>
  <si>
    <t>Cost Of Lease (%)</t>
  </si>
  <si>
    <t>Weighted Average Cost Of Borrowing</t>
  </si>
  <si>
    <t>Net Borrowing Raised</t>
  </si>
  <si>
    <t>Net Lease added</t>
  </si>
  <si>
    <t xml:space="preserve"> ₹            -  </t>
  </si>
  <si>
    <t>Other Balance Sheet Items</t>
  </si>
  <si>
    <t>No. of shares outstanding in cr</t>
  </si>
  <si>
    <t>Dividend Projection</t>
  </si>
  <si>
    <t>Face Value</t>
  </si>
  <si>
    <t>Dividend Paid as % of FV</t>
  </si>
  <si>
    <t xml:space="preserve">Cash Flow </t>
  </si>
  <si>
    <t>Net Profit</t>
  </si>
  <si>
    <t>Add Finance Costs</t>
  </si>
  <si>
    <t>Add Depreciation</t>
  </si>
  <si>
    <t>Less Change in Net Working Capital</t>
  </si>
  <si>
    <t>Cash Flow from Operating Activities</t>
  </si>
  <si>
    <t>Change in Investments</t>
  </si>
  <si>
    <t>Capital Expenditure</t>
  </si>
  <si>
    <t>Cash Flow from Investing Activities</t>
  </si>
  <si>
    <t>Changes to Equity</t>
  </si>
  <si>
    <t>Net Loans Raised for the long term</t>
  </si>
  <si>
    <t>Finance Costs Paid</t>
  </si>
  <si>
    <t>Cash Flow from Financing Activities</t>
  </si>
  <si>
    <t>Total Cash Flow</t>
  </si>
  <si>
    <t>Beginning Cash Balance</t>
  </si>
  <si>
    <t>Closing Cash Balance in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</si>
</sst>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₹&quot;* #,##0.00_);_(&quot;₹&quot;* \(#,##0.00\);_(&quot;₹&quot;* &quot;-&quot;??_);_(@_)"/>
    <numFmt numFmtId="165" formatCode="_(* #,##0.00_);_(* \(#,##0.00\);_(* &quot;-&quot;??_);_(@_)"/>
    <numFmt numFmtId="166" formatCode="0&quot;A&quot;"/>
    <numFmt numFmtId="167" formatCode="_(&quot;₹&quot;* #,##0_);_(&quot;₹&quot;* \(#,##0\);_(&quot;₹&quot;* &quot;-&quot;??_);_(@_)"/>
    <numFmt numFmtId="168" formatCode="0.0%"/>
    <numFmt numFmtId="169" formatCode="0.000%"/>
    <numFmt numFmtId="170" formatCode="_ &quot;₹&quot;\ * #,##0_ ;_ &quot;₹&quot;\ * \-#,##0_ ;_ &quot;₹&quot;\ * &quot;-&quot;??_ ;_ @_ "/>
    <numFmt numFmtId="171" formatCode="0&quot;E&quot;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/>
    <xf numFmtId="166" fontId="2" fillId="2" borderId="0" xfId="0" applyNumberFormat="1" applyFont="1" applyFill="1"/>
    <xf numFmtId="167" fontId="0" fillId="0" borderId="0" xfId="1" applyNumberFormat="1" applyFont="1"/>
    <xf numFmtId="166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68" fontId="0" fillId="0" borderId="0" xfId="2" applyNumberFormat="1" applyFont="1"/>
    <xf numFmtId="1" fontId="0" fillId="0" borderId="0" xfId="0" applyNumberFormat="1"/>
    <xf numFmtId="168" fontId="0" fillId="0" borderId="0" xfId="0" applyNumberFormat="1"/>
    <xf numFmtId="169" fontId="0" fillId="0" borderId="0" xfId="0" applyNumberFormat="1"/>
    <xf numFmtId="10" fontId="0" fillId="0" borderId="0" xfId="0" applyNumberFormat="1"/>
    <xf numFmtId="167" fontId="0" fillId="0" borderId="0" xfId="0" applyNumberFormat="1"/>
    <xf numFmtId="0" fontId="0" fillId="3" borderId="0" xfId="0" applyFill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9" fontId="0" fillId="0" borderId="0" xfId="2" applyFont="1"/>
    <xf numFmtId="0" fontId="0" fillId="4" borderId="0" xfId="0" applyFill="1"/>
    <xf numFmtId="167" fontId="0" fillId="4" borderId="0" xfId="1" applyNumberFormat="1" applyFont="1" applyFill="1"/>
    <xf numFmtId="170" fontId="4" fillId="2" borderId="0" xfId="0" applyNumberFormat="1" applyFont="1" applyFill="1" applyAlignment="1">
      <alignment horizontal="left" vertical="center"/>
    </xf>
    <xf numFmtId="170" fontId="5" fillId="3" borderId="0" xfId="0" applyNumberFormat="1" applyFont="1" applyFill="1" applyAlignment="1">
      <alignment horizontal="left" vertical="center"/>
    </xf>
    <xf numFmtId="1" fontId="6" fillId="3" borderId="0" xfId="0" applyNumberFormat="1" applyFont="1" applyFill="1" applyAlignment="1">
      <alignment horizontal="left" vertical="center"/>
    </xf>
    <xf numFmtId="1" fontId="5" fillId="3" borderId="0" xfId="0" applyNumberFormat="1" applyFont="1" applyFill="1" applyAlignment="1">
      <alignment horizontal="left" vertical="center"/>
    </xf>
    <xf numFmtId="1" fontId="0" fillId="0" borderId="0" xfId="1" applyNumberFormat="1" applyFont="1"/>
    <xf numFmtId="170" fontId="7" fillId="3" borderId="0" xfId="0" applyNumberFormat="1" applyFont="1" applyFill="1" applyAlignment="1">
      <alignment horizontal="left" vertical="center"/>
    </xf>
    <xf numFmtId="170" fontId="8" fillId="3" borderId="0" xfId="0" applyNumberFormat="1" applyFont="1" applyFill="1" applyAlignment="1">
      <alignment horizontal="left" vertical="center"/>
    </xf>
    <xf numFmtId="10" fontId="7" fillId="3" borderId="0" xfId="0" applyNumberFormat="1" applyFont="1" applyFill="1" applyAlignment="1">
      <alignment horizontal="left" vertical="center"/>
    </xf>
    <xf numFmtId="170" fontId="7" fillId="0" borderId="0" xfId="0" applyNumberFormat="1" applyFont="1" applyAlignment="1">
      <alignment horizontal="left" vertical="center"/>
    </xf>
    <xf numFmtId="171" fontId="2" fillId="2" borderId="0" xfId="0" applyNumberFormat="1" applyFont="1" applyFill="1"/>
    <xf numFmtId="167" fontId="9" fillId="0" borderId="0" xfId="0" applyNumberFormat="1" applyFont="1"/>
    <xf numFmtId="167" fontId="0" fillId="3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21BB-8F1A-9848-898B-0C7E5CEE1D31}">
  <dimension ref="A1:K26"/>
  <sheetViews>
    <sheetView zoomScale="82" workbookViewId="0">
      <selection activeCell="F22" sqref="F22"/>
    </sheetView>
  </sheetViews>
  <sheetFormatPr defaultColWidth="10.796875" defaultRowHeight="15.6" x14ac:dyDescent="0.3"/>
  <cols>
    <col min="1" max="1" width="63.5" bestFit="1" customWidth="1"/>
    <col min="2" max="6" width="16.296875" customWidth="1"/>
  </cols>
  <sheetData>
    <row r="1" spans="1:11" x14ac:dyDescent="0.3">
      <c r="A1" s="1" t="s">
        <v>0</v>
      </c>
      <c r="B1" s="2">
        <v>2021</v>
      </c>
      <c r="C1" s="2">
        <f>B1+1</f>
        <v>2022</v>
      </c>
      <c r="D1" s="2">
        <f t="shared" ref="D1:F1" si="0">C1+1</f>
        <v>2023</v>
      </c>
      <c r="E1" s="2">
        <f t="shared" si="0"/>
        <v>2024</v>
      </c>
      <c r="F1" s="2">
        <f t="shared" si="0"/>
        <v>2025</v>
      </c>
      <c r="G1" s="30">
        <f>F1+1</f>
        <v>2026</v>
      </c>
      <c r="H1" s="30">
        <f t="shared" ref="H1:K1" si="1">G1+1</f>
        <v>2027</v>
      </c>
      <c r="I1" s="30">
        <f t="shared" si="1"/>
        <v>2028</v>
      </c>
      <c r="J1" s="30">
        <f t="shared" si="1"/>
        <v>2029</v>
      </c>
      <c r="K1" s="30">
        <f t="shared" si="1"/>
        <v>2030</v>
      </c>
    </row>
    <row r="2" spans="1:11" x14ac:dyDescent="0.3">
      <c r="A2" t="s">
        <v>1</v>
      </c>
      <c r="B2" s="3">
        <v>47028</v>
      </c>
      <c r="C2" s="3">
        <v>52466</v>
      </c>
      <c r="D2" s="3">
        <v>60580</v>
      </c>
      <c r="E2" s="3">
        <v>61896</v>
      </c>
      <c r="F2" s="3">
        <v>63121</v>
      </c>
      <c r="G2" s="3">
        <f>Assumption!G2</f>
        <v>65571.007313737413</v>
      </c>
      <c r="H2" s="3">
        <f>Assumption!H2</f>
        <v>70238.271280321293</v>
      </c>
      <c r="I2" s="3">
        <f>Assumption!I2</f>
        <v>75592.367098787712</v>
      </c>
      <c r="J2" s="3">
        <f>Assumption!J2</f>
        <v>81845.85847454847</v>
      </c>
      <c r="K2" s="3">
        <f>Assumption!K2</f>
        <v>89276.923080363966</v>
      </c>
    </row>
    <row r="3" spans="1:11" x14ac:dyDescent="0.3">
      <c r="A3" t="s">
        <v>2</v>
      </c>
      <c r="B3" s="3">
        <v>410</v>
      </c>
      <c r="C3" s="3">
        <v>258</v>
      </c>
      <c r="D3" s="3">
        <v>512</v>
      </c>
      <c r="E3" s="3">
        <v>811</v>
      </c>
      <c r="F3" s="3">
        <v>1017</v>
      </c>
      <c r="G3" s="3">
        <f>Assumption!G3</f>
        <v>1118.7</v>
      </c>
      <c r="H3" s="3">
        <f>Assumption!H3</f>
        <v>1241.7570000000001</v>
      </c>
      <c r="I3" s="3">
        <f>Assumption!I3</f>
        <v>1390.7678400000002</v>
      </c>
      <c r="J3" s="3">
        <f>Assumption!J3</f>
        <v>1571.5676592</v>
      </c>
      <c r="K3" s="3">
        <f>Assumption!K3</f>
        <v>1791.5871314880001</v>
      </c>
    </row>
    <row r="4" spans="1:11" x14ac:dyDescent="0.3">
      <c r="A4" s="1" t="s">
        <v>3</v>
      </c>
      <c r="B4" s="3">
        <f>SUM(B2:B3)</f>
        <v>47438</v>
      </c>
      <c r="C4" s="3">
        <f t="shared" ref="C4:K4" si="2">SUM(C2:C3)</f>
        <v>52724</v>
      </c>
      <c r="D4" s="3">
        <f t="shared" si="2"/>
        <v>61092</v>
      </c>
      <c r="E4" s="3">
        <f t="shared" si="2"/>
        <v>62707</v>
      </c>
      <c r="F4" s="3">
        <f t="shared" si="2"/>
        <v>64138</v>
      </c>
      <c r="G4" s="3">
        <f t="shared" si="2"/>
        <v>66689.70731373741</v>
      </c>
      <c r="H4" s="3">
        <f t="shared" si="2"/>
        <v>71480.02828032129</v>
      </c>
      <c r="I4" s="3">
        <f t="shared" si="2"/>
        <v>76983.134938787713</v>
      </c>
      <c r="J4" s="3">
        <f t="shared" si="2"/>
        <v>83417.426133748464</v>
      </c>
      <c r="K4" s="3">
        <f t="shared" si="2"/>
        <v>91068.510211851972</v>
      </c>
    </row>
    <row r="5" spans="1:11" x14ac:dyDescent="0.3">
      <c r="A5" t="s">
        <v>4</v>
      </c>
      <c r="B5" s="3">
        <v>15432</v>
      </c>
      <c r="C5" s="3">
        <v>16446</v>
      </c>
      <c r="D5" s="3">
        <v>20212</v>
      </c>
      <c r="E5" s="3">
        <v>19257</v>
      </c>
      <c r="F5" s="3">
        <v>19458</v>
      </c>
      <c r="G5" s="3">
        <f>Assumption!G4</f>
        <v>20912.302687618532</v>
      </c>
      <c r="H5" s="3">
        <f>Assumption!H4</f>
        <v>22271.31113496919</v>
      </c>
      <c r="I5" s="3">
        <f>Assumption!I4</f>
        <v>24023.761167607754</v>
      </c>
      <c r="J5" s="3">
        <f>Assumption!J4</f>
        <v>25751.960754701198</v>
      </c>
      <c r="K5" s="3">
        <f>Assumption!K4</f>
        <v>28152.939742314047</v>
      </c>
    </row>
    <row r="6" spans="1:11" x14ac:dyDescent="0.3">
      <c r="A6" t="s">
        <v>5</v>
      </c>
      <c r="B6" s="3">
        <v>7121</v>
      </c>
      <c r="C6" s="3">
        <v>9311</v>
      </c>
      <c r="D6" s="3">
        <v>11579</v>
      </c>
      <c r="E6" s="3">
        <v>10514</v>
      </c>
      <c r="F6" s="3">
        <v>11272</v>
      </c>
      <c r="G6" s="3">
        <f>Assumption!G5</f>
        <v>11389.246799465216</v>
      </c>
      <c r="H6" s="3">
        <f>Assumption!H5</f>
        <v>12512.801466494097</v>
      </c>
      <c r="I6" s="3">
        <f>Assumption!I5</f>
        <v>13476.912115541842</v>
      </c>
      <c r="J6" s="3">
        <f>Assumption!J5</f>
        <v>14381.438838934049</v>
      </c>
      <c r="K6" s="3">
        <f>Assumption!K5</f>
        <v>15791.599177189435</v>
      </c>
    </row>
    <row r="7" spans="1:11" x14ac:dyDescent="0.3">
      <c r="A7" t="s">
        <v>6</v>
      </c>
      <c r="B7" s="3">
        <v>-405</v>
      </c>
      <c r="C7" s="3">
        <v>-22</v>
      </c>
      <c r="D7" s="3">
        <v>-75</v>
      </c>
      <c r="E7" s="3">
        <v>-11</v>
      </c>
      <c r="F7" s="3">
        <v>-153</v>
      </c>
      <c r="G7" s="3">
        <f>Assumption!G6</f>
        <v>0</v>
      </c>
      <c r="H7" s="3">
        <f>Assumption!H6</f>
        <v>0</v>
      </c>
      <c r="I7" s="3">
        <f>Assumption!I6</f>
        <v>0</v>
      </c>
      <c r="J7" s="3">
        <f>Assumption!J6</f>
        <v>0</v>
      </c>
      <c r="K7" s="3">
        <f>Assumption!K6</f>
        <v>0</v>
      </c>
    </row>
    <row r="8" spans="1:11" x14ac:dyDescent="0.3">
      <c r="A8" t="s">
        <v>7</v>
      </c>
      <c r="B8" s="3">
        <v>2358</v>
      </c>
      <c r="C8" s="3">
        <v>2545</v>
      </c>
      <c r="D8" s="3">
        <v>2854</v>
      </c>
      <c r="E8" s="3">
        <v>3009</v>
      </c>
      <c r="F8" s="3">
        <v>3077</v>
      </c>
      <c r="G8" s="3">
        <f>Assumption!G7</f>
        <v>3457.3172000000004</v>
      </c>
      <c r="H8" s="3">
        <f>Assumption!H7</f>
        <v>3939.7858152600006</v>
      </c>
      <c r="I8" s="3">
        <f>Assumption!I7</f>
        <v>4552.8164881144576</v>
      </c>
      <c r="J8" s="3">
        <f>Assumption!J7</f>
        <v>5334.7627199481158</v>
      </c>
      <c r="K8" s="3">
        <f>Assumption!K7</f>
        <v>6337.6981112983631</v>
      </c>
    </row>
    <row r="9" spans="1:11" x14ac:dyDescent="0.3">
      <c r="A9" t="s">
        <v>8</v>
      </c>
      <c r="B9" s="3">
        <v>117</v>
      </c>
      <c r="C9" s="3">
        <v>106</v>
      </c>
      <c r="D9" s="3">
        <v>114</v>
      </c>
      <c r="E9" s="3">
        <v>334</v>
      </c>
      <c r="F9" s="3">
        <v>395</v>
      </c>
      <c r="G9" s="3">
        <f>Schedules!AE16</f>
        <v>398.85549483910142</v>
      </c>
      <c r="H9" s="3">
        <f>Schedules!AF16</f>
        <v>402.71098967820279</v>
      </c>
      <c r="I9" s="3">
        <f>Schedules!AG16</f>
        <v>406.56648451730416</v>
      </c>
      <c r="J9" s="3">
        <f>Schedules!AH16</f>
        <v>410.42197935640559</v>
      </c>
      <c r="K9" s="3">
        <f>Schedules!AI16</f>
        <v>414.27747419550701</v>
      </c>
    </row>
    <row r="10" spans="1:11" x14ac:dyDescent="0.3">
      <c r="A10" t="s">
        <v>9</v>
      </c>
      <c r="B10" s="3">
        <v>1074</v>
      </c>
      <c r="C10" s="3">
        <v>1091</v>
      </c>
      <c r="D10" s="3">
        <v>1137</v>
      </c>
      <c r="E10" s="3">
        <v>1216</v>
      </c>
      <c r="F10" s="3">
        <v>1355</v>
      </c>
      <c r="G10" s="3">
        <f>Schedules!S19</f>
        <v>1317.9938052540667</v>
      </c>
      <c r="H10" s="3">
        <f>Schedules!T19</f>
        <v>1376.4159015838322</v>
      </c>
      <c r="I10" s="3">
        <f>Schedules!U19</f>
        <v>1438.5245142416522</v>
      </c>
      <c r="J10" s="3">
        <f>Schedules!V19</f>
        <v>1506.7229580637941</v>
      </c>
      <c r="K10" s="3">
        <f>Schedules!W19</f>
        <v>1572.220771873931</v>
      </c>
    </row>
    <row r="11" spans="1:11" x14ac:dyDescent="0.3">
      <c r="A11" t="s">
        <v>10</v>
      </c>
      <c r="B11" s="3">
        <v>10896</v>
      </c>
      <c r="C11" s="3">
        <v>11309</v>
      </c>
      <c r="D11" s="3">
        <v>11861</v>
      </c>
      <c r="E11" s="3">
        <v>14464</v>
      </c>
      <c r="F11" s="3">
        <v>14615</v>
      </c>
      <c r="G11" s="3">
        <f>Assumption!G8</f>
        <v>14440.37240506331</v>
      </c>
      <c r="H11" s="3">
        <f>Assumption!H8</f>
        <v>15307.138793772177</v>
      </c>
      <c r="I11" s="3">
        <f>Assumption!I8</f>
        <v>16509.984946165445</v>
      </c>
      <c r="J11" s="3">
        <f>Assumption!J8</f>
        <v>18245.756078350441</v>
      </c>
      <c r="K11" s="3">
        <f>Assumption!K8</f>
        <v>19710.333146283258</v>
      </c>
    </row>
    <row r="12" spans="1:11" x14ac:dyDescent="0.3">
      <c r="A12" s="1" t="s">
        <v>11</v>
      </c>
      <c r="B12" s="3">
        <f>SUM(B5:B11)</f>
        <v>36593</v>
      </c>
      <c r="C12" s="3">
        <f t="shared" ref="C12:K12" si="3">SUM(C5:C11)</f>
        <v>40786</v>
      </c>
      <c r="D12" s="3">
        <f t="shared" si="3"/>
        <v>47682</v>
      </c>
      <c r="E12" s="3">
        <f t="shared" si="3"/>
        <v>48783</v>
      </c>
      <c r="F12" s="3">
        <f t="shared" si="3"/>
        <v>50019</v>
      </c>
      <c r="G12" s="3">
        <f t="shared" si="3"/>
        <v>51916.088392240228</v>
      </c>
      <c r="H12" s="3">
        <f t="shared" si="3"/>
        <v>55810.164101757502</v>
      </c>
      <c r="I12" s="3">
        <f t="shared" si="3"/>
        <v>60408.565716188452</v>
      </c>
      <c r="J12" s="3">
        <f t="shared" si="3"/>
        <v>65631.063329354001</v>
      </c>
      <c r="K12" s="3">
        <f t="shared" si="3"/>
        <v>71979.068423154531</v>
      </c>
    </row>
    <row r="13" spans="1:11" x14ac:dyDescent="0.3">
      <c r="A13" t="s">
        <v>12</v>
      </c>
      <c r="B13" s="3">
        <f>B4-B12</f>
        <v>10845</v>
      </c>
      <c r="C13" s="3">
        <f t="shared" ref="C13:K13" si="4">C4-C12</f>
        <v>11938</v>
      </c>
      <c r="D13" s="3">
        <f t="shared" si="4"/>
        <v>13410</v>
      </c>
      <c r="E13" s="3">
        <f t="shared" si="4"/>
        <v>13924</v>
      </c>
      <c r="F13" s="3">
        <f t="shared" si="4"/>
        <v>14119</v>
      </c>
      <c r="G13" s="3">
        <f t="shared" si="4"/>
        <v>14773.618921497182</v>
      </c>
      <c r="H13" s="3">
        <f t="shared" si="4"/>
        <v>15669.864178563788</v>
      </c>
      <c r="I13" s="3">
        <f t="shared" si="4"/>
        <v>16574.569222599261</v>
      </c>
      <c r="J13" s="3">
        <f t="shared" si="4"/>
        <v>17786.362804394463</v>
      </c>
      <c r="K13" s="3">
        <f t="shared" si="4"/>
        <v>19089.441788697441</v>
      </c>
    </row>
    <row r="14" spans="1:11" x14ac:dyDescent="0.3">
      <c r="A14" t="s">
        <v>13</v>
      </c>
      <c r="B14" s="3">
        <v>0</v>
      </c>
      <c r="C14" s="3">
        <v>0</v>
      </c>
      <c r="D14" s="3">
        <v>-1</v>
      </c>
      <c r="E14" s="3">
        <v>-4</v>
      </c>
      <c r="F14" s="3">
        <v>-8</v>
      </c>
      <c r="G14" s="3">
        <f>Assumption!G9</f>
        <v>0</v>
      </c>
      <c r="H14" s="3">
        <f>Assumption!H9</f>
        <v>0</v>
      </c>
      <c r="I14" s="3">
        <f>Assumption!I9</f>
        <v>0</v>
      </c>
      <c r="J14" s="3">
        <f>Assumption!J9</f>
        <v>0</v>
      </c>
      <c r="K14" s="3">
        <f>Assumption!K9</f>
        <v>0</v>
      </c>
    </row>
    <row r="15" spans="1:11" x14ac:dyDescent="0.3">
      <c r="A15" t="s">
        <v>14</v>
      </c>
      <c r="B15" s="3">
        <f>B13+B14</f>
        <v>10845</v>
      </c>
      <c r="C15" s="3">
        <f t="shared" ref="C15:K15" si="5">C13+C14</f>
        <v>11938</v>
      </c>
      <c r="D15" s="3">
        <f t="shared" si="5"/>
        <v>13409</v>
      </c>
      <c r="E15" s="3">
        <f t="shared" si="5"/>
        <v>13920</v>
      </c>
      <c r="F15" s="3">
        <f t="shared" si="5"/>
        <v>14111</v>
      </c>
      <c r="G15" s="3">
        <f t="shared" si="5"/>
        <v>14773.618921497182</v>
      </c>
      <c r="H15" s="3">
        <f t="shared" si="5"/>
        <v>15669.864178563788</v>
      </c>
      <c r="I15" s="3">
        <f t="shared" si="5"/>
        <v>16574.569222599261</v>
      </c>
      <c r="J15" s="3">
        <f t="shared" si="5"/>
        <v>17786.362804394463</v>
      </c>
      <c r="K15" s="3">
        <f t="shared" si="5"/>
        <v>19089.441788697441</v>
      </c>
    </row>
    <row r="16" spans="1:11" x14ac:dyDescent="0.3">
      <c r="A16" t="s">
        <v>15</v>
      </c>
      <c r="B16" s="3">
        <v>-239</v>
      </c>
      <c r="C16" s="3">
        <v>-44</v>
      </c>
      <c r="D16" s="3">
        <v>-64</v>
      </c>
      <c r="E16" s="3">
        <v>6</v>
      </c>
      <c r="F16" s="3">
        <v>305</v>
      </c>
      <c r="G16" s="3">
        <f>Assumption!G10</f>
        <v>305</v>
      </c>
      <c r="H16" s="3">
        <f>Assumption!H10</f>
        <v>305</v>
      </c>
      <c r="I16" s="3">
        <f>Assumption!I10</f>
        <v>305</v>
      </c>
      <c r="J16" s="3">
        <f>Assumption!J10</f>
        <v>305</v>
      </c>
      <c r="K16" s="3">
        <f>Assumption!K10</f>
        <v>305</v>
      </c>
    </row>
    <row r="17" spans="1:11" x14ac:dyDescent="0.3">
      <c r="A17" s="1" t="s">
        <v>16</v>
      </c>
      <c r="B17" s="3">
        <f>B15+B16</f>
        <v>10606</v>
      </c>
      <c r="C17" s="3">
        <f t="shared" ref="C17:K17" si="6">C15+C16</f>
        <v>11894</v>
      </c>
      <c r="D17" s="3">
        <f t="shared" si="6"/>
        <v>13345</v>
      </c>
      <c r="E17" s="3">
        <f t="shared" si="6"/>
        <v>13926</v>
      </c>
      <c r="F17" s="3">
        <f t="shared" si="6"/>
        <v>14416</v>
      </c>
      <c r="G17" s="3">
        <f t="shared" si="6"/>
        <v>15078.618921497182</v>
      </c>
      <c r="H17" s="3">
        <f t="shared" si="6"/>
        <v>15974.864178563788</v>
      </c>
      <c r="I17" s="3">
        <f t="shared" si="6"/>
        <v>16879.569222599261</v>
      </c>
      <c r="J17" s="3">
        <f t="shared" si="6"/>
        <v>18091.362804394463</v>
      </c>
      <c r="K17" s="3">
        <f t="shared" si="6"/>
        <v>19394.441788697441</v>
      </c>
    </row>
    <row r="18" spans="1:11" x14ac:dyDescent="0.3">
      <c r="A18" t="s">
        <v>17</v>
      </c>
      <c r="B18" s="3">
        <v>-2520</v>
      </c>
      <c r="C18" s="3">
        <v>-2840</v>
      </c>
      <c r="D18" s="3">
        <v>-3001</v>
      </c>
      <c r="E18" s="3">
        <v>-3521</v>
      </c>
      <c r="F18" s="3">
        <v>-3620</v>
      </c>
      <c r="G18" s="3">
        <f>Assumption!G12</f>
        <v>-3644.8050544751468</v>
      </c>
      <c r="H18" s="3">
        <f>Assumption!H12</f>
        <v>-3861.4455346154455</v>
      </c>
      <c r="I18" s="3">
        <f>Assumption!I12</f>
        <v>-4080.1309151849173</v>
      </c>
      <c r="J18" s="3">
        <f>Assumption!J12</f>
        <v>-4373.0457633485548</v>
      </c>
      <c r="K18" s="3">
        <f>Assumption!K12</f>
        <v>-4688.0261268085424</v>
      </c>
    </row>
    <row r="19" spans="1:11" x14ac:dyDescent="0.3">
      <c r="A19" t="s">
        <v>18</v>
      </c>
      <c r="B19" s="3">
        <v>-86</v>
      </c>
      <c r="C19" s="3">
        <v>-147</v>
      </c>
      <c r="D19" s="3">
        <v>-200</v>
      </c>
      <c r="E19" s="3">
        <v>-123</v>
      </c>
      <c r="F19" s="3">
        <v>-124</v>
      </c>
      <c r="G19" s="3">
        <f>Assumption!G13</f>
        <v>-124.84967589914865</v>
      </c>
      <c r="H19" s="3">
        <f>Assumption!H13</f>
        <v>-132.27051002550144</v>
      </c>
      <c r="I19" s="3">
        <f>Assumption!I13</f>
        <v>-139.76139046489769</v>
      </c>
      <c r="J19" s="3">
        <f>Assumption!J13</f>
        <v>-149.79493775006097</v>
      </c>
      <c r="K19" s="3">
        <f>Assumption!K13</f>
        <v>-160.58432036581746</v>
      </c>
    </row>
    <row r="20" spans="1:11" x14ac:dyDescent="0.3">
      <c r="A20" s="1" t="s">
        <v>19</v>
      </c>
      <c r="B20" s="3">
        <f>B17+B18+B19</f>
        <v>8000</v>
      </c>
      <c r="C20" s="3">
        <f t="shared" ref="C20:E20" si="7">C17+C18+C19</f>
        <v>8907</v>
      </c>
      <c r="D20" s="3">
        <f t="shared" si="7"/>
        <v>10144</v>
      </c>
      <c r="E20" s="3">
        <f t="shared" si="7"/>
        <v>10282</v>
      </c>
      <c r="F20" s="3">
        <f>F17+F18+F19</f>
        <v>10672</v>
      </c>
      <c r="G20" s="3">
        <f t="shared" ref="G20:K20" si="8">G17+G18+G19</f>
        <v>11308.964191122888</v>
      </c>
      <c r="H20" s="3">
        <f t="shared" si="8"/>
        <v>11981.148133922841</v>
      </c>
      <c r="I20" s="3">
        <f t="shared" si="8"/>
        <v>12659.676916949447</v>
      </c>
      <c r="J20" s="3">
        <f t="shared" si="8"/>
        <v>13568.522103295847</v>
      </c>
      <c r="K20" s="3">
        <f t="shared" si="8"/>
        <v>14545.831341523082</v>
      </c>
    </row>
    <row r="21" spans="1:11" x14ac:dyDescent="0.3">
      <c r="A21" t="s">
        <v>20</v>
      </c>
      <c r="B21" s="3">
        <v>9517.5</v>
      </c>
      <c r="C21" s="3">
        <v>7990</v>
      </c>
      <c r="D21" s="3">
        <v>9165</v>
      </c>
      <c r="E21" s="3">
        <v>9870</v>
      </c>
      <c r="F21" s="3">
        <v>12455</v>
      </c>
      <c r="G21" s="3">
        <f>Assumption!G96</f>
        <v>9400</v>
      </c>
      <c r="H21" s="3">
        <f>Assumption!H96</f>
        <v>8812.5</v>
      </c>
      <c r="I21" s="3">
        <f>Assumption!I96</f>
        <v>8812.5</v>
      </c>
      <c r="J21" s="3">
        <f>Assumption!J96</f>
        <v>8812.5</v>
      </c>
      <c r="K21" s="3">
        <f>Assumption!K96</f>
        <v>8812.5</v>
      </c>
    </row>
    <row r="22" spans="1:11" x14ac:dyDescent="0.3">
      <c r="A22" t="s">
        <v>21</v>
      </c>
      <c r="B22" s="3">
        <f>B20-B21</f>
        <v>-1517.5</v>
      </c>
      <c r="C22" s="3">
        <f>C20-C21</f>
        <v>917</v>
      </c>
      <c r="D22" s="3">
        <f t="shared" ref="D22:K22" si="9">D20-D21</f>
        <v>979</v>
      </c>
      <c r="E22" s="3">
        <f t="shared" si="9"/>
        <v>412</v>
      </c>
      <c r="F22" s="3">
        <f t="shared" si="9"/>
        <v>-1783</v>
      </c>
      <c r="G22" s="3">
        <f t="shared" si="9"/>
        <v>1908.9641911228882</v>
      </c>
      <c r="H22" s="3">
        <f t="shared" si="9"/>
        <v>3168.6481339228412</v>
      </c>
      <c r="I22" s="3">
        <f t="shared" si="9"/>
        <v>3847.1769169494473</v>
      </c>
      <c r="J22" s="3">
        <f t="shared" si="9"/>
        <v>4756.022103295847</v>
      </c>
      <c r="K22" s="3">
        <f t="shared" si="9"/>
        <v>5733.3313415230823</v>
      </c>
    </row>
    <row r="24" spans="1:11" x14ac:dyDescent="0.3">
      <c r="B24" s="4"/>
      <c r="C24" s="4"/>
      <c r="D24" s="4"/>
      <c r="E24" s="4"/>
    </row>
    <row r="25" spans="1:11" x14ac:dyDescent="0.3">
      <c r="C25" s="5"/>
    </row>
    <row r="26" spans="1:11" x14ac:dyDescent="0.3">
      <c r="C26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1663-C8CD-7943-B323-69AB82BC9AEB}">
  <dimension ref="A1:K49"/>
  <sheetViews>
    <sheetView zoomScale="91" zoomScaleNormal="91" workbookViewId="0"/>
  </sheetViews>
  <sheetFormatPr defaultColWidth="10.796875" defaultRowHeight="15.6" x14ac:dyDescent="0.3"/>
  <cols>
    <col min="1" max="1" width="45.09765625" bestFit="1" customWidth="1"/>
    <col min="2" max="6" width="8.59765625" bestFit="1" customWidth="1"/>
    <col min="7" max="11" width="10.09765625" bestFit="1" customWidth="1"/>
  </cols>
  <sheetData>
    <row r="1" spans="1:11" x14ac:dyDescent="0.3">
      <c r="A1" s="1" t="s">
        <v>0</v>
      </c>
      <c r="B1" s="2">
        <v>2021</v>
      </c>
      <c r="C1" s="2">
        <f>B1+1</f>
        <v>2022</v>
      </c>
      <c r="D1" s="2">
        <f t="shared" ref="D1:F1" si="0">C1+1</f>
        <v>2023</v>
      </c>
      <c r="E1" s="2">
        <f t="shared" si="0"/>
        <v>2024</v>
      </c>
      <c r="F1" s="2">
        <f t="shared" si="0"/>
        <v>2025</v>
      </c>
      <c r="G1" s="30">
        <f>F1+1</f>
        <v>2026</v>
      </c>
      <c r="H1" s="30">
        <f t="shared" ref="H1:K1" si="1">G1+1</f>
        <v>2027</v>
      </c>
      <c r="I1" s="30">
        <f t="shared" si="1"/>
        <v>2028</v>
      </c>
      <c r="J1" s="30">
        <f t="shared" si="1"/>
        <v>2029</v>
      </c>
      <c r="K1" s="30">
        <f t="shared" si="1"/>
        <v>2030</v>
      </c>
    </row>
    <row r="2" spans="1:11" x14ac:dyDescent="0.3">
      <c r="A2" s="1" t="s">
        <v>47</v>
      </c>
    </row>
    <row r="3" spans="1:11" x14ac:dyDescent="0.3">
      <c r="A3" s="19" t="s">
        <v>48</v>
      </c>
    </row>
    <row r="4" spans="1:11" x14ac:dyDescent="0.3">
      <c r="A4" t="s">
        <v>49</v>
      </c>
      <c r="B4" s="3">
        <v>6116</v>
      </c>
      <c r="C4" s="3">
        <v>6169</v>
      </c>
      <c r="D4" s="3">
        <v>6949</v>
      </c>
      <c r="E4" s="3">
        <v>8031</v>
      </c>
      <c r="F4" s="3">
        <v>8625</v>
      </c>
      <c r="G4" s="3">
        <f>Schedules!S2</f>
        <v>7980.0509453750728</v>
      </c>
      <c r="H4" s="3">
        <f>Schedules!T2</f>
        <v>7265.5322114838382</v>
      </c>
      <c r="I4" s="3">
        <f>Schedules!U2</f>
        <v>6510.6562240341736</v>
      </c>
      <c r="J4" s="3">
        <f>Schedules!V2</f>
        <v>5710.7640958834272</v>
      </c>
      <c r="K4" s="3">
        <f>Schedules!W2</f>
        <v>4870.576938353257</v>
      </c>
    </row>
    <row r="5" spans="1:11" x14ac:dyDescent="0.3">
      <c r="A5" t="s">
        <v>50</v>
      </c>
      <c r="B5" s="3">
        <v>745</v>
      </c>
      <c r="C5" s="3">
        <v>1313</v>
      </c>
      <c r="D5" s="3">
        <v>1132</v>
      </c>
      <c r="E5" s="3">
        <v>1025</v>
      </c>
      <c r="F5" s="3">
        <v>1009</v>
      </c>
      <c r="G5" s="3">
        <f>Assumption!G74</f>
        <v>1009</v>
      </c>
      <c r="H5" s="3">
        <f>Assumption!H74</f>
        <v>1009</v>
      </c>
      <c r="I5" s="3">
        <f>Assumption!I74</f>
        <v>1009</v>
      </c>
      <c r="J5" s="3">
        <f>Assumption!J74</f>
        <v>1009</v>
      </c>
      <c r="K5" s="3">
        <f>Assumption!K74</f>
        <v>1009</v>
      </c>
    </row>
    <row r="6" spans="1:11" x14ac:dyDescent="0.3">
      <c r="A6" t="s">
        <v>51</v>
      </c>
      <c r="B6" s="3">
        <v>17397</v>
      </c>
      <c r="C6" s="3">
        <v>17397</v>
      </c>
      <c r="D6" s="3">
        <v>17466</v>
      </c>
      <c r="E6" s="3">
        <v>17466</v>
      </c>
      <c r="F6" s="3">
        <v>17466</v>
      </c>
      <c r="G6" s="3">
        <f>Assumption!G75</f>
        <v>17466</v>
      </c>
      <c r="H6" s="3">
        <f>Assumption!H75</f>
        <v>17466</v>
      </c>
      <c r="I6" s="3">
        <f>Assumption!I75</f>
        <v>17466</v>
      </c>
      <c r="J6" s="3">
        <f>Assumption!J75</f>
        <v>17466</v>
      </c>
      <c r="K6" s="3">
        <f>Assumption!K75</f>
        <v>17466</v>
      </c>
    </row>
    <row r="7" spans="1:11" x14ac:dyDescent="0.3">
      <c r="A7" t="s">
        <v>52</v>
      </c>
      <c r="B7" s="3">
        <v>27930</v>
      </c>
      <c r="C7" s="3">
        <v>27907</v>
      </c>
      <c r="D7" s="3">
        <v>28263</v>
      </c>
      <c r="E7" s="3">
        <v>28247</v>
      </c>
      <c r="F7" s="3">
        <v>28243</v>
      </c>
      <c r="G7" s="3">
        <f>Schedules!S5</f>
        <v>29424.955249370858</v>
      </c>
      <c r="H7" s="3">
        <f>Schedules!T5</f>
        <v>30581.051886932328</v>
      </c>
      <c r="I7" s="3">
        <f>Schedules!U5</f>
        <v>31773.819261724173</v>
      </c>
      <c r="J7" s="3">
        <f>Schedules!V5</f>
        <v>33005.512946052775</v>
      </c>
      <c r="K7" s="3">
        <f>Schedules!W5</f>
        <v>34280.202289772809</v>
      </c>
    </row>
    <row r="8" spans="1:11" x14ac:dyDescent="0.3">
      <c r="A8" t="s">
        <v>53</v>
      </c>
      <c r="B8" s="3">
        <v>0</v>
      </c>
      <c r="C8" s="3">
        <v>0</v>
      </c>
      <c r="D8" s="3">
        <v>69</v>
      </c>
      <c r="E8" s="3">
        <v>65</v>
      </c>
      <c r="F8" s="3">
        <v>57</v>
      </c>
      <c r="G8" s="3">
        <f>Assumption!G76</f>
        <v>57</v>
      </c>
      <c r="H8" s="3">
        <f>Assumption!H76</f>
        <v>57</v>
      </c>
      <c r="I8" s="3">
        <f>Assumption!I76</f>
        <v>57</v>
      </c>
      <c r="J8" s="3">
        <f>Assumption!J76</f>
        <v>57</v>
      </c>
      <c r="K8" s="3">
        <f>Assumption!K76</f>
        <v>57</v>
      </c>
    </row>
    <row r="9" spans="1:11" x14ac:dyDescent="0.3">
      <c r="A9" t="s">
        <v>54</v>
      </c>
      <c r="B9" s="3">
        <v>2</v>
      </c>
      <c r="C9" s="3">
        <v>2</v>
      </c>
      <c r="D9" s="3">
        <v>2</v>
      </c>
      <c r="E9" s="3">
        <v>2</v>
      </c>
      <c r="F9" s="3">
        <v>2</v>
      </c>
      <c r="G9" s="3">
        <f>Assumption!G77</f>
        <v>2</v>
      </c>
      <c r="H9" s="3">
        <f>Assumption!H77</f>
        <v>2</v>
      </c>
      <c r="I9" s="3">
        <f>Assumption!I77</f>
        <v>2</v>
      </c>
      <c r="J9" s="3">
        <f>Assumption!J77</f>
        <v>2</v>
      </c>
      <c r="K9" s="3">
        <f>Assumption!K77</f>
        <v>2</v>
      </c>
    </row>
    <row r="10" spans="1:11" x14ac:dyDescent="0.3">
      <c r="A10" t="s">
        <v>55</v>
      </c>
      <c r="B10" s="3">
        <v>111</v>
      </c>
      <c r="C10" s="3">
        <v>115</v>
      </c>
      <c r="D10" s="3">
        <v>98</v>
      </c>
      <c r="E10" s="3">
        <v>102</v>
      </c>
      <c r="F10" s="3">
        <v>87</v>
      </c>
      <c r="G10" s="3">
        <f>Assumption!G78</f>
        <v>87</v>
      </c>
      <c r="H10" s="3">
        <f>Assumption!H78</f>
        <v>87</v>
      </c>
      <c r="I10" s="3">
        <f>Assumption!I78</f>
        <v>87</v>
      </c>
      <c r="J10" s="3">
        <f>Assumption!J78</f>
        <v>87</v>
      </c>
      <c r="K10" s="3">
        <f>Assumption!K78</f>
        <v>87</v>
      </c>
    </row>
    <row r="11" spans="1:11" x14ac:dyDescent="0.3">
      <c r="A11" t="s">
        <v>56</v>
      </c>
      <c r="B11" s="3">
        <v>757</v>
      </c>
      <c r="C11" s="3">
        <v>729</v>
      </c>
      <c r="D11" s="3">
        <v>725</v>
      </c>
      <c r="E11" s="3">
        <v>760</v>
      </c>
      <c r="F11" s="3">
        <v>763</v>
      </c>
      <c r="G11" s="3">
        <f>Assumption!G79</f>
        <v>763</v>
      </c>
      <c r="H11" s="3">
        <f>Assumption!H79</f>
        <v>763</v>
      </c>
      <c r="I11" s="3">
        <f>Assumption!I79</f>
        <v>763</v>
      </c>
      <c r="J11" s="3">
        <f>Assumption!J79</f>
        <v>763</v>
      </c>
      <c r="K11" s="3">
        <f>Assumption!K79</f>
        <v>763</v>
      </c>
    </row>
    <row r="12" spans="1:11" x14ac:dyDescent="0.3">
      <c r="A12" t="s">
        <v>57</v>
      </c>
      <c r="B12" s="3">
        <v>17</v>
      </c>
      <c r="C12" s="3">
        <v>11</v>
      </c>
      <c r="D12" s="3">
        <v>10</v>
      </c>
      <c r="E12" s="3">
        <v>10</v>
      </c>
      <c r="F12" s="3">
        <v>17</v>
      </c>
      <c r="G12" s="3">
        <f>Assumption!G80</f>
        <v>17</v>
      </c>
      <c r="H12" s="3">
        <f>Assumption!H80</f>
        <v>17</v>
      </c>
      <c r="I12" s="3">
        <f>Assumption!I80</f>
        <v>17</v>
      </c>
      <c r="J12" s="3">
        <f>Assumption!J80</f>
        <v>17</v>
      </c>
      <c r="K12" s="3">
        <f>Assumption!K80</f>
        <v>17</v>
      </c>
    </row>
    <row r="13" spans="1:11" x14ac:dyDescent="0.3">
      <c r="A13" t="s">
        <v>58</v>
      </c>
      <c r="B13" s="3">
        <v>1246</v>
      </c>
      <c r="C13" s="3">
        <v>1158</v>
      </c>
      <c r="D13" s="3">
        <v>1164</v>
      </c>
      <c r="E13" s="3">
        <v>1175</v>
      </c>
      <c r="F13" s="3">
        <v>1199</v>
      </c>
      <c r="G13" s="3">
        <f>Assumption!G81</f>
        <v>1199</v>
      </c>
      <c r="H13" s="3">
        <f>Assumption!H81</f>
        <v>1199</v>
      </c>
      <c r="I13" s="3">
        <f>Assumption!I81</f>
        <v>1199</v>
      </c>
      <c r="J13" s="3">
        <f>Assumption!J81</f>
        <v>1199</v>
      </c>
      <c r="K13" s="3">
        <f>Assumption!K81</f>
        <v>1199</v>
      </c>
    </row>
    <row r="14" spans="1:11" x14ac:dyDescent="0.3">
      <c r="A14" t="s">
        <v>59</v>
      </c>
      <c r="B14" s="3">
        <v>219</v>
      </c>
      <c r="C14" s="3">
        <v>194</v>
      </c>
      <c r="D14" s="3">
        <v>211</v>
      </c>
      <c r="E14" s="3">
        <v>292</v>
      </c>
      <c r="F14" s="3">
        <v>360</v>
      </c>
      <c r="G14" s="3">
        <f>Assumption!G82</f>
        <v>360</v>
      </c>
      <c r="H14" s="3">
        <f>Assumption!H82</f>
        <v>360</v>
      </c>
      <c r="I14" s="3">
        <f>Assumption!I82</f>
        <v>360</v>
      </c>
      <c r="J14" s="3">
        <f>Assumption!J82</f>
        <v>360</v>
      </c>
      <c r="K14" s="3">
        <f>Assumption!K82</f>
        <v>360</v>
      </c>
    </row>
    <row r="15" spans="1:11" x14ac:dyDescent="0.3">
      <c r="A15" s="19" t="s">
        <v>60</v>
      </c>
      <c r="B15" s="3"/>
      <c r="C15" s="3"/>
      <c r="D15" s="3"/>
      <c r="E15" s="3"/>
      <c r="F15" s="3"/>
    </row>
    <row r="16" spans="1:11" x14ac:dyDescent="0.3">
      <c r="A16" t="s">
        <v>61</v>
      </c>
      <c r="B16" s="3">
        <v>3579</v>
      </c>
      <c r="C16" s="3">
        <v>4096</v>
      </c>
      <c r="D16" s="3">
        <v>4251</v>
      </c>
      <c r="E16" s="3">
        <v>4022</v>
      </c>
      <c r="F16" s="3">
        <v>4415</v>
      </c>
      <c r="G16" s="3">
        <f>Schedules!G3</f>
        <v>4711.5374713909277</v>
      </c>
      <c r="H16" s="3">
        <f>Schedules!H3</f>
        <v>4987.2016932121387</v>
      </c>
      <c r="I16" s="3">
        <f>Schedules!I3</f>
        <v>5260.5437354313608</v>
      </c>
      <c r="J16" s="3">
        <f>Schedules!J3</f>
        <v>5686.2239027161613</v>
      </c>
      <c r="K16" s="3">
        <f>Schedules!K3</f>
        <v>6282.7523824260661</v>
      </c>
    </row>
    <row r="17" spans="1:11" x14ac:dyDescent="0.3">
      <c r="A17" t="s">
        <v>54</v>
      </c>
      <c r="B17" s="3">
        <v>2707</v>
      </c>
      <c r="C17" s="3">
        <v>3519</v>
      </c>
      <c r="D17" s="3">
        <v>2811</v>
      </c>
      <c r="E17" s="3">
        <v>4558</v>
      </c>
      <c r="F17" s="3">
        <v>3751</v>
      </c>
      <c r="G17" s="3">
        <f>Schedules!G4</f>
        <v>3988.0301766927109</v>
      </c>
      <c r="H17" s="3">
        <f>Schedules!H4</f>
        <v>4317.6685477735946</v>
      </c>
      <c r="I17" s="3">
        <f>Schedules!I4</f>
        <v>4562.1265638132118</v>
      </c>
      <c r="J17" s="3">
        <f>Schedules!J4</f>
        <v>5167.8890054077629</v>
      </c>
      <c r="K17" s="3">
        <f>Schedules!K4</f>
        <v>5449.6547881623765</v>
      </c>
    </row>
    <row r="18" spans="1:11" x14ac:dyDescent="0.3">
      <c r="A18" t="s">
        <v>62</v>
      </c>
      <c r="B18" s="3">
        <v>1758</v>
      </c>
      <c r="C18" s="3">
        <v>2236</v>
      </c>
      <c r="D18" s="3">
        <v>3079</v>
      </c>
      <c r="E18" s="3">
        <v>2997</v>
      </c>
      <c r="F18" s="3">
        <v>3819</v>
      </c>
      <c r="G18" s="3">
        <f>Schedules!G5</f>
        <v>3144.1060708287018</v>
      </c>
      <c r="H18" s="3">
        <f>Schedules!H5</f>
        <v>3516.3504232572036</v>
      </c>
      <c r="I18" s="3">
        <f>Schedules!I5</f>
        <v>3896.9518541567213</v>
      </c>
      <c r="J18" s="3">
        <f>Schedules!J5</f>
        <v>4231.2306532635466</v>
      </c>
      <c r="K18" s="3">
        <f>Schedules!K5</f>
        <v>4673.9217396949971</v>
      </c>
    </row>
    <row r="19" spans="1:11" x14ac:dyDescent="0.3">
      <c r="A19" t="s">
        <v>63</v>
      </c>
      <c r="B19" s="3">
        <v>1842</v>
      </c>
      <c r="C19" s="3">
        <v>1147</v>
      </c>
      <c r="D19" s="3">
        <v>714</v>
      </c>
      <c r="E19" s="3">
        <v>825</v>
      </c>
      <c r="F19" s="3">
        <v>6071</v>
      </c>
      <c r="G19" s="3">
        <f>CF!B20</f>
        <v>3038.6269077180386</v>
      </c>
      <c r="H19" s="3">
        <f>CF!C20</f>
        <v>5112.1509977832447</v>
      </c>
      <c r="I19" s="3">
        <f>CF!D20</f>
        <v>8224.7422047854088</v>
      </c>
      <c r="J19" s="3">
        <f>CF!E20</f>
        <v>12173.9501803402</v>
      </c>
      <c r="K19" s="3">
        <f>CF!F20</f>
        <v>17179.494110843712</v>
      </c>
    </row>
    <row r="20" spans="1:11" x14ac:dyDescent="0.3">
      <c r="A20" t="s">
        <v>64</v>
      </c>
      <c r="B20" s="3">
        <v>2629</v>
      </c>
      <c r="C20" s="3">
        <v>2699</v>
      </c>
      <c r="D20" s="3">
        <v>3964</v>
      </c>
      <c r="E20" s="3">
        <v>6734</v>
      </c>
      <c r="F20" s="3">
        <v>1483</v>
      </c>
      <c r="G20" s="3">
        <f>Schedules!G6</f>
        <v>3952.2250983622548</v>
      </c>
      <c r="H20" s="3">
        <f>Schedules!H6</f>
        <v>4425.9732587599719</v>
      </c>
      <c r="I20" s="3">
        <f>Schedules!I6</f>
        <v>4970.4570147148088</v>
      </c>
      <c r="J20" s="3">
        <f>Schedules!J6</f>
        <v>5605.8807174348267</v>
      </c>
      <c r="K20" s="3">
        <f>Schedules!K6</f>
        <v>6359.4520550396255</v>
      </c>
    </row>
    <row r="21" spans="1:11" x14ac:dyDescent="0.3">
      <c r="A21" t="s">
        <v>55</v>
      </c>
      <c r="B21" s="3">
        <v>34</v>
      </c>
      <c r="C21" s="3">
        <v>35</v>
      </c>
      <c r="D21" s="3">
        <v>36</v>
      </c>
      <c r="E21" s="3">
        <v>38</v>
      </c>
      <c r="F21" s="3">
        <v>46</v>
      </c>
      <c r="G21" s="3">
        <f>Schedules!G7</f>
        <v>43.631208833966753</v>
      </c>
      <c r="H21" s="3">
        <f>Schedules!H7</f>
        <v>45.928107355039764</v>
      </c>
      <c r="I21" s="3">
        <f>Schedules!I7</f>
        <v>49.229403012408476</v>
      </c>
      <c r="J21" s="3">
        <f>Schedules!J7</f>
        <v>54.234903811558027</v>
      </c>
      <c r="K21" s="3">
        <f>Schedules!K7</f>
        <v>60.028880101733186</v>
      </c>
    </row>
    <row r="22" spans="1:11" x14ac:dyDescent="0.3">
      <c r="A22" t="s">
        <v>65</v>
      </c>
      <c r="B22" s="3">
        <v>1154</v>
      </c>
      <c r="C22" s="3">
        <v>1089</v>
      </c>
      <c r="D22" s="3">
        <v>1386</v>
      </c>
      <c r="E22" s="3">
        <v>1425</v>
      </c>
      <c r="F22" s="3">
        <v>1488</v>
      </c>
      <c r="G22" s="3">
        <f>Schedules!G8</f>
        <v>1505.1165127981715</v>
      </c>
      <c r="H22" s="3">
        <f>Schedules!H8</f>
        <v>1589.9892484891056</v>
      </c>
      <c r="I22" s="3">
        <f>Schedules!I8</f>
        <v>1739.6248423525703</v>
      </c>
      <c r="J22" s="3">
        <f>Schedules!J8</f>
        <v>1885.7378584323176</v>
      </c>
      <c r="K22" s="3">
        <f>Schedules!K8</f>
        <v>2057.265113395586</v>
      </c>
    </row>
    <row r="23" spans="1:11" x14ac:dyDescent="0.3">
      <c r="A23" t="s">
        <v>66</v>
      </c>
      <c r="B23" s="3">
        <v>497</v>
      </c>
      <c r="C23" s="3">
        <v>688</v>
      </c>
      <c r="D23" s="3">
        <v>745</v>
      </c>
      <c r="E23" s="3">
        <v>713</v>
      </c>
      <c r="F23" s="3">
        <v>955</v>
      </c>
      <c r="G23" s="3">
        <f>Schedules!G9</f>
        <v>821.31894768637073</v>
      </c>
      <c r="H23" s="3">
        <f>Schedules!H9</f>
        <v>907.27728045667823</v>
      </c>
      <c r="I23" s="3">
        <f>Schedules!I9</f>
        <v>973.47184859047559</v>
      </c>
      <c r="J23" s="3">
        <f>Schedules!J9</f>
        <v>1063.4999079490065</v>
      </c>
      <c r="K23" s="3">
        <f>Schedules!K9</f>
        <v>1186.3884917233454</v>
      </c>
    </row>
    <row r="24" spans="1:11" x14ac:dyDescent="0.3">
      <c r="A24" t="s">
        <v>67</v>
      </c>
      <c r="B24" s="3">
        <v>17</v>
      </c>
      <c r="C24" s="3">
        <v>13</v>
      </c>
      <c r="D24" s="3">
        <v>12</v>
      </c>
      <c r="E24" s="3">
        <v>12</v>
      </c>
      <c r="F24" s="3">
        <v>23</v>
      </c>
      <c r="G24" s="3">
        <f>Schedules!G10</f>
        <v>17.908813636576365</v>
      </c>
      <c r="H24" s="3">
        <f>Schedules!H10</f>
        <v>17.942208043395613</v>
      </c>
      <c r="I24" s="3">
        <f>Schedules!I10</f>
        <v>19.425831697330587</v>
      </c>
      <c r="J24" s="3">
        <f>Schedules!J10</f>
        <v>21.996944870302222</v>
      </c>
      <c r="K24" s="3">
        <f>Schedules!K10</f>
        <v>25.331259417007146</v>
      </c>
    </row>
    <row r="25" spans="1:11" x14ac:dyDescent="0.3">
      <c r="A25" s="1" t="s">
        <v>68</v>
      </c>
      <c r="B25" s="20">
        <f t="shared" ref="B25:F25" si="2">SUM(B16:B24,B4:B14)</f>
        <v>68757</v>
      </c>
      <c r="C25" s="20">
        <f t="shared" si="2"/>
        <v>70517</v>
      </c>
      <c r="D25" s="20">
        <f t="shared" si="2"/>
        <v>73087</v>
      </c>
      <c r="E25" s="20">
        <f t="shared" si="2"/>
        <v>78499</v>
      </c>
      <c r="F25" s="20">
        <f t="shared" si="2"/>
        <v>79879</v>
      </c>
      <c r="G25" s="20">
        <f t="shared" ref="G25" si="3">SUM(G16:G24,G4:G14)</f>
        <v>79587.507402693649</v>
      </c>
      <c r="H25" s="20">
        <f t="shared" ref="H25" si="4">SUM(H16:H24,H4:H14)</f>
        <v>83727.065863546537</v>
      </c>
      <c r="I25" s="20">
        <f t="shared" ref="I25" si="5">SUM(I16:I24,I4:I14)</f>
        <v>88941.048784312632</v>
      </c>
      <c r="J25" s="20">
        <f t="shared" ref="J25" si="6">SUM(J16:J24,J4:J14)</f>
        <v>95566.921116161888</v>
      </c>
      <c r="K25" s="20">
        <f t="shared" ref="K25" si="7">SUM(K16:K24,K4:K14)</f>
        <v>103385.06804893052</v>
      </c>
    </row>
    <row r="26" spans="1:11" x14ac:dyDescent="0.3">
      <c r="A26" s="1" t="s">
        <v>69</v>
      </c>
      <c r="B26" s="3"/>
      <c r="C26" s="3"/>
      <c r="D26" s="3"/>
      <c r="E26" s="3"/>
      <c r="F26" s="3"/>
    </row>
    <row r="27" spans="1:11" x14ac:dyDescent="0.3">
      <c r="A27" s="19" t="s">
        <v>70</v>
      </c>
      <c r="B27" s="3"/>
      <c r="C27" s="3"/>
      <c r="D27" s="3"/>
      <c r="E27" s="3"/>
      <c r="F27" s="3"/>
    </row>
    <row r="28" spans="1:11" x14ac:dyDescent="0.3">
      <c r="A28" t="s">
        <v>71</v>
      </c>
      <c r="B28" s="3">
        <v>235</v>
      </c>
      <c r="C28" s="3">
        <v>235</v>
      </c>
      <c r="D28" s="3">
        <v>235</v>
      </c>
      <c r="E28" s="3">
        <v>235</v>
      </c>
      <c r="F28" s="3">
        <v>235</v>
      </c>
      <c r="G28" s="3">
        <f>Assumption!G90</f>
        <v>235</v>
      </c>
      <c r="H28" s="3">
        <f>Assumption!H90</f>
        <v>235</v>
      </c>
      <c r="I28" s="3">
        <f>Assumption!I90</f>
        <v>235</v>
      </c>
      <c r="J28" s="3">
        <f>Assumption!J90</f>
        <v>235</v>
      </c>
      <c r="K28" s="3">
        <f>Assumption!K90</f>
        <v>235</v>
      </c>
    </row>
    <row r="29" spans="1:11" x14ac:dyDescent="0.3">
      <c r="A29" t="s">
        <v>72</v>
      </c>
      <c r="B29" s="3">
        <v>47439</v>
      </c>
      <c r="C29" s="3">
        <v>48826</v>
      </c>
      <c r="D29" s="3">
        <v>50069</v>
      </c>
      <c r="E29" s="3">
        <v>50983</v>
      </c>
      <c r="F29" s="3">
        <v>49167</v>
      </c>
      <c r="G29" s="3">
        <f>Assumption!G91</f>
        <v>51075.96419112289</v>
      </c>
      <c r="H29" s="3">
        <f>Assumption!H91</f>
        <v>54244.612325045731</v>
      </c>
      <c r="I29" s="3">
        <f>Assumption!I91</f>
        <v>58091.789241995182</v>
      </c>
      <c r="J29" s="3">
        <f>Assumption!J91</f>
        <v>62847.811345291033</v>
      </c>
      <c r="K29" s="3">
        <f>Assumption!K91</f>
        <v>68581.142686814113</v>
      </c>
    </row>
    <row r="30" spans="1:11" x14ac:dyDescent="0.3">
      <c r="A30" t="s">
        <v>73</v>
      </c>
      <c r="B30" s="3">
        <v>20</v>
      </c>
      <c r="C30" s="3">
        <v>26</v>
      </c>
      <c r="D30" s="3">
        <v>218</v>
      </c>
      <c r="E30" s="3">
        <v>205</v>
      </c>
      <c r="F30" s="3">
        <v>207</v>
      </c>
      <c r="G30" s="3">
        <f>Assumption!G92</f>
        <v>207</v>
      </c>
      <c r="H30" s="3">
        <f>Assumption!H92</f>
        <v>207</v>
      </c>
      <c r="I30" s="3">
        <f>Assumption!I92</f>
        <v>207</v>
      </c>
      <c r="J30" s="3">
        <f>Assumption!J92</f>
        <v>207</v>
      </c>
      <c r="K30" s="3">
        <f>Assumption!K92</f>
        <v>207</v>
      </c>
    </row>
    <row r="31" spans="1:11" x14ac:dyDescent="0.3">
      <c r="A31" s="1" t="s">
        <v>74</v>
      </c>
      <c r="B31" s="3"/>
      <c r="C31" s="3"/>
      <c r="D31" s="3"/>
      <c r="E31" s="3"/>
      <c r="F31" s="3"/>
    </row>
    <row r="32" spans="1:11" x14ac:dyDescent="0.3">
      <c r="A32" s="19" t="s">
        <v>75</v>
      </c>
      <c r="B32" s="3"/>
      <c r="C32" s="3"/>
      <c r="D32" s="3"/>
      <c r="E32" s="3"/>
      <c r="F32" s="3"/>
    </row>
    <row r="33" spans="1:11" x14ac:dyDescent="0.3">
      <c r="A33" s="6" t="s">
        <v>76</v>
      </c>
      <c r="B33" s="3">
        <v>731</v>
      </c>
      <c r="C33" s="3">
        <v>741</v>
      </c>
      <c r="D33" s="3">
        <v>807</v>
      </c>
      <c r="E33" s="3">
        <v>1106</v>
      </c>
      <c r="F33" s="3">
        <v>1243</v>
      </c>
      <c r="G33" s="16">
        <f>Schedules!AE6</f>
        <v>1280.7352762598664</v>
      </c>
      <c r="H33" s="16">
        <f>Schedules!AF6</f>
        <v>1318.4705525197328</v>
      </c>
      <c r="I33" s="16">
        <f>Schedules!AG6</f>
        <v>1356.2058287795992</v>
      </c>
      <c r="J33" s="16">
        <f>Schedules!AH6</f>
        <v>1393.9411050394656</v>
      </c>
      <c r="K33" s="16">
        <f>Schedules!AI6</f>
        <v>1431.676381299332</v>
      </c>
    </row>
    <row r="34" spans="1:11" x14ac:dyDescent="0.3">
      <c r="A34" s="6" t="s">
        <v>77</v>
      </c>
      <c r="B34" s="3">
        <v>296</v>
      </c>
      <c r="C34" s="3">
        <v>357</v>
      </c>
      <c r="D34" s="3">
        <v>860</v>
      </c>
      <c r="E34" s="3">
        <v>718</v>
      </c>
      <c r="F34" s="3">
        <v>680</v>
      </c>
      <c r="G34" s="3">
        <f>Assumption!G83</f>
        <v>680</v>
      </c>
      <c r="H34" s="3">
        <f>Assumption!H83</f>
        <v>680</v>
      </c>
      <c r="I34" s="3">
        <f>Assumption!I83</f>
        <v>680</v>
      </c>
      <c r="J34" s="3">
        <f>Assumption!J83</f>
        <v>680</v>
      </c>
      <c r="K34" s="3">
        <f>Assumption!K83</f>
        <v>680</v>
      </c>
    </row>
    <row r="35" spans="1:11" x14ac:dyDescent="0.3">
      <c r="A35" s="6" t="s">
        <v>78</v>
      </c>
      <c r="B35" s="3">
        <v>1578</v>
      </c>
      <c r="C35" s="3">
        <v>1580</v>
      </c>
      <c r="D35" s="3">
        <v>1363</v>
      </c>
      <c r="E35" s="3">
        <v>1576</v>
      </c>
      <c r="F35" s="3">
        <v>1528</v>
      </c>
      <c r="G35" s="3">
        <f>Assumption!G84</f>
        <v>1528</v>
      </c>
      <c r="H35" s="3">
        <f>Assumption!H84</f>
        <v>1528</v>
      </c>
      <c r="I35" s="3">
        <f>Assumption!I84</f>
        <v>1528</v>
      </c>
      <c r="J35" s="3">
        <f>Assumption!J84</f>
        <v>1528</v>
      </c>
      <c r="K35" s="3">
        <f>Assumption!K84</f>
        <v>1528</v>
      </c>
    </row>
    <row r="36" spans="1:11" x14ac:dyDescent="0.3">
      <c r="A36" t="s">
        <v>79</v>
      </c>
      <c r="B36" s="3">
        <v>5988</v>
      </c>
      <c r="C36" s="3">
        <v>6141</v>
      </c>
      <c r="D36" s="3">
        <v>6421</v>
      </c>
      <c r="E36" s="3">
        <v>6557</v>
      </c>
      <c r="F36" s="3">
        <v>6685</v>
      </c>
      <c r="G36" s="3">
        <f>Assumption!G85</f>
        <v>6685</v>
      </c>
      <c r="H36" s="3">
        <f>Assumption!H85</f>
        <v>6685</v>
      </c>
      <c r="I36" s="3">
        <f>Assumption!I85</f>
        <v>6685</v>
      </c>
      <c r="J36" s="3">
        <f>Assumption!J85</f>
        <v>6685</v>
      </c>
      <c r="K36" s="3">
        <f>Assumption!K85</f>
        <v>6685</v>
      </c>
    </row>
    <row r="37" spans="1:11" x14ac:dyDescent="0.3">
      <c r="A37" t="s">
        <v>80</v>
      </c>
      <c r="B37" s="3">
        <v>1367</v>
      </c>
      <c r="C37" s="3">
        <v>1331</v>
      </c>
      <c r="D37" s="3">
        <v>1086</v>
      </c>
      <c r="E37" s="3">
        <v>4243</v>
      </c>
      <c r="F37" s="3">
        <v>3598</v>
      </c>
      <c r="G37" s="3">
        <f>Assumption!G86</f>
        <v>3598</v>
      </c>
      <c r="H37" s="3">
        <f>Assumption!H86</f>
        <v>3598</v>
      </c>
      <c r="I37" s="3">
        <f>Assumption!I86</f>
        <v>3598</v>
      </c>
      <c r="J37" s="3">
        <f>Assumption!J86</f>
        <v>3598</v>
      </c>
      <c r="K37" s="3">
        <f>Assumption!K86</f>
        <v>3598</v>
      </c>
    </row>
    <row r="38" spans="1:11" x14ac:dyDescent="0.3">
      <c r="A38" s="19" t="s">
        <v>81</v>
      </c>
      <c r="B38" s="3"/>
      <c r="C38" s="3"/>
      <c r="D38" s="3"/>
      <c r="E38" s="3"/>
      <c r="F38" s="3"/>
    </row>
    <row r="39" spans="1:11" x14ac:dyDescent="0.3">
      <c r="A39" t="s">
        <v>82</v>
      </c>
      <c r="B39" s="3">
        <v>0</v>
      </c>
      <c r="C39" s="3">
        <v>0</v>
      </c>
      <c r="D39" s="3">
        <v>98</v>
      </c>
      <c r="E39" s="3">
        <v>13</v>
      </c>
      <c r="F39" s="3">
        <v>1</v>
      </c>
      <c r="G39" s="16">
        <f>Schedules!AE3</f>
        <v>0</v>
      </c>
      <c r="H39" s="16">
        <f>Schedules!AF3</f>
        <v>0</v>
      </c>
      <c r="I39" s="16">
        <f>Schedules!AG3</f>
        <v>0</v>
      </c>
      <c r="J39" s="16">
        <f>Schedules!AH3</f>
        <v>0</v>
      </c>
      <c r="K39" s="16">
        <f>Schedules!AI3</f>
        <v>0</v>
      </c>
    </row>
    <row r="40" spans="1:11" x14ac:dyDescent="0.3">
      <c r="A40" s="6" t="s">
        <v>76</v>
      </c>
      <c r="B40" s="3">
        <v>278</v>
      </c>
      <c r="C40" s="3">
        <v>302</v>
      </c>
      <c r="D40" s="3">
        <v>314</v>
      </c>
      <c r="E40" s="3">
        <v>365</v>
      </c>
      <c r="F40" s="3">
        <v>404</v>
      </c>
      <c r="G40" s="16">
        <f>Schedules!AE7</f>
        <v>416.2647237401336</v>
      </c>
      <c r="H40" s="16">
        <f>Schedules!AF7</f>
        <v>428.52944748026721</v>
      </c>
      <c r="I40" s="16">
        <f>Schedules!AG7</f>
        <v>440.79417122040076</v>
      </c>
      <c r="J40" s="16">
        <f>Schedules!AH7</f>
        <v>453.05889496053436</v>
      </c>
      <c r="K40" s="16">
        <f>Schedules!AI7</f>
        <v>465.32361870066791</v>
      </c>
    </row>
    <row r="41" spans="1:11" x14ac:dyDescent="0.3">
      <c r="A41" t="s">
        <v>83</v>
      </c>
      <c r="B41" s="3">
        <v>67</v>
      </c>
      <c r="C41" s="3">
        <v>60</v>
      </c>
      <c r="D41" s="3">
        <v>100</v>
      </c>
      <c r="E41" s="3">
        <v>250</v>
      </c>
      <c r="F41" s="3">
        <v>263</v>
      </c>
      <c r="G41" s="3">
        <f>Schedules!G12</f>
        <v>162.9390301575917</v>
      </c>
      <c r="H41" s="3">
        <f>Schedules!H12</f>
        <v>189.43074027915785</v>
      </c>
      <c r="I41" s="3">
        <f>Schedules!I12</f>
        <v>227.35525999800439</v>
      </c>
      <c r="J41" s="3">
        <f>Schedules!J12</f>
        <v>268.37552357995315</v>
      </c>
      <c r="K41" s="3">
        <f>Schedules!K12</f>
        <v>279.17221154557978</v>
      </c>
    </row>
    <row r="42" spans="1:11" x14ac:dyDescent="0.3">
      <c r="A42" t="s">
        <v>84</v>
      </c>
      <c r="B42" s="3">
        <v>8735</v>
      </c>
      <c r="C42" s="3">
        <v>9008</v>
      </c>
      <c r="D42" s="3">
        <v>9474</v>
      </c>
      <c r="E42" s="3">
        <v>10236</v>
      </c>
      <c r="F42" s="3">
        <v>11052</v>
      </c>
      <c r="G42" s="3">
        <f>Schedules!G13</f>
        <v>11203.295228281786</v>
      </c>
      <c r="H42" s="3">
        <f>Schedules!H13</f>
        <v>11791.661407742848</v>
      </c>
      <c r="I42" s="3">
        <f>Schedules!I13</f>
        <v>12632.890836144232</v>
      </c>
      <c r="J42" s="3">
        <f>Schedules!J13</f>
        <v>13853.612634030018</v>
      </c>
      <c r="K42" s="3">
        <f>Schedules!K13</f>
        <v>15180.895724531249</v>
      </c>
    </row>
    <row r="43" spans="1:11" x14ac:dyDescent="0.3">
      <c r="A43" t="s">
        <v>85</v>
      </c>
      <c r="B43" s="3">
        <v>928</v>
      </c>
      <c r="C43" s="3">
        <v>899</v>
      </c>
      <c r="D43" s="3">
        <v>889</v>
      </c>
      <c r="E43" s="3">
        <v>865</v>
      </c>
      <c r="F43" s="3">
        <v>1280</v>
      </c>
      <c r="G43" s="3">
        <f>Schedules!G14</f>
        <v>1125.1487732190817</v>
      </c>
      <c r="H43" s="3">
        <f>Schedules!H14</f>
        <v>1169.0812725245305</v>
      </c>
      <c r="I43" s="3">
        <f>Schedules!I14</f>
        <v>1250.7834307533542</v>
      </c>
      <c r="J43" s="3">
        <f>Schedules!J14</f>
        <v>1384.8931407118876</v>
      </c>
      <c r="K43" s="3">
        <f>Schedules!K14</f>
        <v>1563.22879332711</v>
      </c>
    </row>
    <row r="44" spans="1:11" x14ac:dyDescent="0.3">
      <c r="A44" t="s">
        <v>86</v>
      </c>
      <c r="B44" s="3">
        <v>588</v>
      </c>
      <c r="C44" s="3">
        <v>665</v>
      </c>
      <c r="D44" s="3">
        <v>764</v>
      </c>
      <c r="E44" s="3">
        <v>807</v>
      </c>
      <c r="F44" s="3">
        <v>959</v>
      </c>
      <c r="G44" s="3">
        <f>Schedules!G15</f>
        <v>865.80651559787134</v>
      </c>
      <c r="H44" s="3">
        <f>Schedules!H15</f>
        <v>937.27979072043274</v>
      </c>
      <c r="I44" s="3">
        <f>Schedules!I15</f>
        <v>1018.8469080137738</v>
      </c>
      <c r="J44" s="3">
        <f>Schedules!J15</f>
        <v>1117.3204997406838</v>
      </c>
      <c r="K44" s="3">
        <f>Schedules!K15</f>
        <v>1229.7205151288283</v>
      </c>
    </row>
    <row r="45" spans="1:11" x14ac:dyDescent="0.3">
      <c r="A45" t="s">
        <v>87</v>
      </c>
      <c r="B45" s="3">
        <v>507</v>
      </c>
      <c r="C45" s="3">
        <v>346</v>
      </c>
      <c r="D45" s="3">
        <v>389</v>
      </c>
      <c r="E45" s="3">
        <v>340</v>
      </c>
      <c r="F45" s="3">
        <v>675</v>
      </c>
      <c r="G45" s="3">
        <f>Schedules!G16</f>
        <v>524.35366431443174</v>
      </c>
      <c r="H45" s="3">
        <f>Schedules!H16</f>
        <v>522.5667072877568</v>
      </c>
      <c r="I45" s="3">
        <f>Schedules!I16</f>
        <v>575.17835618186507</v>
      </c>
      <c r="J45" s="3">
        <f>Schedules!J16</f>
        <v>642.2022867161395</v>
      </c>
      <c r="K45" s="3">
        <f>Schedules!K16</f>
        <v>742.53087834677876</v>
      </c>
    </row>
    <row r="46" spans="1:11" x14ac:dyDescent="0.3">
      <c r="A46" t="s">
        <v>88</v>
      </c>
      <c r="B46" s="3">
        <v>0</v>
      </c>
      <c r="C46" s="3">
        <v>0</v>
      </c>
      <c r="D46" s="3">
        <v>0</v>
      </c>
      <c r="E46" s="3">
        <v>0</v>
      </c>
      <c r="F46" s="3">
        <v>1903</v>
      </c>
      <c r="G46" s="3">
        <f>Schedules!G17</f>
        <v>0</v>
      </c>
      <c r="H46" s="3">
        <f>Schedules!H17</f>
        <v>192.43361994608574</v>
      </c>
      <c r="I46" s="3">
        <f>Schedules!I17</f>
        <v>414.20475122623407</v>
      </c>
      <c r="J46" s="3">
        <f>Schedules!J17</f>
        <v>672.70568609217923</v>
      </c>
      <c r="K46" s="3">
        <f>Schedules!K17</f>
        <v>978.37723923686542</v>
      </c>
    </row>
    <row r="47" spans="1:11" x14ac:dyDescent="0.3">
      <c r="A47" s="1" t="s">
        <v>89</v>
      </c>
      <c r="B47" s="20">
        <f>SUM(B28:B46)</f>
        <v>68757</v>
      </c>
      <c r="C47" s="20">
        <f>SUM(C28:C46)</f>
        <v>70517</v>
      </c>
      <c r="D47" s="20">
        <f>SUM(D28:D46)</f>
        <v>73087</v>
      </c>
      <c r="E47" s="20">
        <f>SUM(E28:E46)</f>
        <v>78499</v>
      </c>
      <c r="F47" s="20">
        <f>SUM(F28:F46)</f>
        <v>79880</v>
      </c>
      <c r="G47" s="20">
        <f t="shared" ref="G47:K47" si="8">SUM(G28:G46)</f>
        <v>79587.507402693664</v>
      </c>
      <c r="H47" s="20">
        <f t="shared" si="8"/>
        <v>83727.065863546552</v>
      </c>
      <c r="I47" s="20">
        <f t="shared" si="8"/>
        <v>88941.048784312632</v>
      </c>
      <c r="J47" s="20">
        <f t="shared" si="8"/>
        <v>95566.921116161902</v>
      </c>
      <c r="K47" s="20">
        <f t="shared" si="8"/>
        <v>103385.06804893052</v>
      </c>
    </row>
    <row r="49" spans="2:11" x14ac:dyDescent="0.3">
      <c r="B49" s="13">
        <f>B47-B25</f>
        <v>0</v>
      </c>
      <c r="C49" s="13">
        <f t="shared" ref="C49:K49" si="9">C47-C25</f>
        <v>0</v>
      </c>
      <c r="D49" s="13">
        <f t="shared" si="9"/>
        <v>0</v>
      </c>
      <c r="E49" s="13">
        <f t="shared" si="9"/>
        <v>0</v>
      </c>
      <c r="F49" s="13">
        <f t="shared" si="9"/>
        <v>1</v>
      </c>
      <c r="G49" s="13">
        <f t="shared" si="9"/>
        <v>0</v>
      </c>
      <c r="H49" s="13">
        <f t="shared" si="9"/>
        <v>0</v>
      </c>
      <c r="I49" s="13">
        <f t="shared" si="9"/>
        <v>0</v>
      </c>
      <c r="J49" s="13">
        <f t="shared" si="9"/>
        <v>0</v>
      </c>
      <c r="K49" s="13">
        <f t="shared" si="9"/>
        <v>0</v>
      </c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CA558-90F5-0749-B77A-1EE44DFCF40C}">
  <dimension ref="A1:F20"/>
  <sheetViews>
    <sheetView tabSelected="1" zoomScale="89" workbookViewId="0">
      <selection activeCell="B12" sqref="B12"/>
    </sheetView>
  </sheetViews>
  <sheetFormatPr defaultColWidth="10.796875" defaultRowHeight="15.6" x14ac:dyDescent="0.3"/>
  <cols>
    <col min="1" max="1" width="37.3984375" customWidth="1"/>
  </cols>
  <sheetData>
    <row r="1" spans="1:6" x14ac:dyDescent="0.3">
      <c r="A1" s="1" t="s">
        <v>133</v>
      </c>
      <c r="B1" s="30">
        <f>2025+1</f>
        <v>2026</v>
      </c>
      <c r="C1" s="30">
        <f t="shared" ref="C1:F1" si="0">B1+1</f>
        <v>2027</v>
      </c>
      <c r="D1" s="30">
        <f t="shared" si="0"/>
        <v>2028</v>
      </c>
      <c r="E1" s="30">
        <f t="shared" si="0"/>
        <v>2029</v>
      </c>
      <c r="F1" s="30">
        <f t="shared" si="0"/>
        <v>2030</v>
      </c>
    </row>
    <row r="2" spans="1:6" x14ac:dyDescent="0.3">
      <c r="A2" s="3" t="s">
        <v>134</v>
      </c>
      <c r="B2" s="3">
        <f>IS!G20</f>
        <v>11308.964191122888</v>
      </c>
      <c r="C2" s="3">
        <f>IS!H20</f>
        <v>11981.148133922841</v>
      </c>
      <c r="D2" s="3">
        <f>IS!I20</f>
        <v>12659.676916949447</v>
      </c>
      <c r="E2" s="3">
        <f>IS!J20</f>
        <v>13568.522103295847</v>
      </c>
      <c r="F2" s="3">
        <f>IS!K20</f>
        <v>14545.831341523082</v>
      </c>
    </row>
    <row r="3" spans="1:6" x14ac:dyDescent="0.3">
      <c r="A3" s="3" t="s">
        <v>135</v>
      </c>
      <c r="B3" s="3">
        <f>IS!G9</f>
        <v>398.85549483910142</v>
      </c>
      <c r="C3" s="3">
        <f>IS!H9</f>
        <v>402.71098967820279</v>
      </c>
      <c r="D3" s="3">
        <f>IS!I9</f>
        <v>406.56648451730416</v>
      </c>
      <c r="E3" s="3">
        <f>IS!J9</f>
        <v>410.42197935640559</v>
      </c>
      <c r="F3" s="3">
        <f>IS!K9</f>
        <v>414.27747419550701</v>
      </c>
    </row>
    <row r="4" spans="1:6" x14ac:dyDescent="0.3">
      <c r="A4" s="3" t="s">
        <v>136</v>
      </c>
      <c r="B4" s="3">
        <f>IS!G10</f>
        <v>1317.9938052540667</v>
      </c>
      <c r="C4" s="3">
        <f>IS!H10</f>
        <v>1376.4159015838322</v>
      </c>
      <c r="D4" s="3">
        <f>IS!I10</f>
        <v>1438.5245142416522</v>
      </c>
      <c r="E4" s="3">
        <f>IS!J10</f>
        <v>1506.7229580637941</v>
      </c>
      <c r="F4" s="3">
        <f>IS!K10</f>
        <v>1572.220771873931</v>
      </c>
    </row>
    <row r="5" spans="1:6" x14ac:dyDescent="0.3">
      <c r="A5" s="3" t="s">
        <v>137</v>
      </c>
      <c r="B5" s="3">
        <f>-Schedules!G19</f>
        <v>-4454.331088658917</v>
      </c>
      <c r="C5" s="3">
        <f>-Schedules!H19</f>
        <v>-703.54614018739994</v>
      </c>
      <c r="D5" s="3">
        <f>-Schedules!I19</f>
        <v>-346.69432260510257</v>
      </c>
      <c r="E5" s="3">
        <f>-Schedules!J19</f>
        <v>-425.01257156319843</v>
      </c>
      <c r="F5" s="3">
        <f>-Schedules!K19</f>
        <v>-343.28522482970584</v>
      </c>
    </row>
    <row r="6" spans="1:6" x14ac:dyDescent="0.3">
      <c r="A6" s="32" t="s">
        <v>138</v>
      </c>
      <c r="B6" s="13">
        <f>SUM(B2:B5)</f>
        <v>8571.4824025571397</v>
      </c>
      <c r="C6" s="13">
        <f t="shared" ref="C6:F6" si="1">SUM(C2:C5)</f>
        <v>13056.728884997476</v>
      </c>
      <c r="D6" s="13">
        <f t="shared" si="1"/>
        <v>14158.073593103301</v>
      </c>
      <c r="E6" s="13">
        <f t="shared" si="1"/>
        <v>15060.654469152849</v>
      </c>
      <c r="F6" s="13">
        <f t="shared" si="1"/>
        <v>16189.044362762816</v>
      </c>
    </row>
    <row r="7" spans="1:6" x14ac:dyDescent="0.3">
      <c r="A7" s="3"/>
    </row>
    <row r="8" spans="1:6" x14ac:dyDescent="0.3">
      <c r="A8" s="3" t="s">
        <v>139</v>
      </c>
      <c r="B8" s="3">
        <f>-(SUM(Assumption!G74:G86)-SUM(Assumption!F74:F86))</f>
        <v>0</v>
      </c>
      <c r="C8" s="3">
        <f>-(SUM(Assumption!H74:H86)-SUM(Assumption!G74:G86))</f>
        <v>0</v>
      </c>
      <c r="D8" s="3">
        <f>-(SUM(Assumption!I74:I86)-SUM(Assumption!H74:H86))</f>
        <v>0</v>
      </c>
      <c r="E8" s="3">
        <f>-(SUM(Assumption!J74:J86)-SUM(Assumption!I74:I86))</f>
        <v>0</v>
      </c>
      <c r="F8" s="3">
        <f>-(SUM(Assumption!K74:K86)-SUM(Assumption!J74:J86))</f>
        <v>0</v>
      </c>
    </row>
    <row r="9" spans="1:6" x14ac:dyDescent="0.3">
      <c r="A9" s="3" t="s">
        <v>140</v>
      </c>
      <c r="B9" s="3">
        <f>-Schedules!S22</f>
        <v>-1855</v>
      </c>
      <c r="C9" s="3">
        <f>-Schedules!T22</f>
        <v>-1817.9938052540667</v>
      </c>
      <c r="D9" s="3">
        <f>-Schedules!U22</f>
        <v>-1876.4159015838322</v>
      </c>
      <c r="E9" s="3">
        <f>-Schedules!V22</f>
        <v>-1938.5245142416522</v>
      </c>
      <c r="F9" s="3">
        <f>-Schedules!W22</f>
        <v>-2006.7229580637941</v>
      </c>
    </row>
    <row r="10" spans="1:6" x14ac:dyDescent="0.3">
      <c r="A10" s="32" t="s">
        <v>141</v>
      </c>
      <c r="B10" s="13">
        <f>SUM(B8:B9)</f>
        <v>-1855</v>
      </c>
      <c r="C10" s="13">
        <f t="shared" ref="C10:F10" si="2">SUM(C8:C9)</f>
        <v>-1817.9938052540667</v>
      </c>
      <c r="D10" s="13">
        <f t="shared" si="2"/>
        <v>-1876.4159015838322</v>
      </c>
      <c r="E10" s="13">
        <f t="shared" si="2"/>
        <v>-1938.5245142416522</v>
      </c>
      <c r="F10" s="13">
        <f t="shared" si="2"/>
        <v>-2006.7229580637941</v>
      </c>
    </row>
    <row r="11" spans="1:6" x14ac:dyDescent="0.3">
      <c r="A11" s="3"/>
    </row>
    <row r="12" spans="1:6" x14ac:dyDescent="0.3">
      <c r="A12" s="3" t="s">
        <v>142</v>
      </c>
      <c r="B12" s="13">
        <f>(Assumption!G90+Assumption!G92)-(Assumption!F90+Assumption!F92)</f>
        <v>0</v>
      </c>
      <c r="C12" s="13">
        <f>(Assumption!H90+Assumption!H92)-(Assumption!G90+Assumption!G92)</f>
        <v>0</v>
      </c>
      <c r="D12" s="13">
        <f>(Assumption!I90+Assumption!I92)-(Assumption!H90+Assumption!H92)</f>
        <v>0</v>
      </c>
      <c r="E12" s="13">
        <f>(Assumption!J90+Assumption!J92)-(Assumption!I90+Assumption!I92)</f>
        <v>0</v>
      </c>
      <c r="F12" s="13">
        <f>(Assumption!K90+Assumption!K92)-(Assumption!J90+Assumption!J92)</f>
        <v>0</v>
      </c>
    </row>
    <row r="13" spans="1:6" x14ac:dyDescent="0.3">
      <c r="A13" s="3" t="s">
        <v>143</v>
      </c>
      <c r="B13" s="13">
        <f>Schedules!AE21+Schedules!AE22</f>
        <v>50</v>
      </c>
      <c r="C13" s="13">
        <f>Schedules!AF21+Schedules!AF22</f>
        <v>50</v>
      </c>
      <c r="D13" s="13">
        <f>Schedules!AG21+Schedules!AG22</f>
        <v>50</v>
      </c>
      <c r="E13" s="13">
        <f>Schedules!AH21+Schedules!AH22</f>
        <v>50</v>
      </c>
      <c r="F13" s="13">
        <f>Schedules!AI21+Schedules!AI22</f>
        <v>50</v>
      </c>
    </row>
    <row r="14" spans="1:6" x14ac:dyDescent="0.3">
      <c r="A14" s="3" t="s">
        <v>144</v>
      </c>
      <c r="B14" s="13">
        <f>-IS!G9</f>
        <v>-398.85549483910142</v>
      </c>
      <c r="C14" s="13">
        <f>-IS!H9</f>
        <v>-402.71098967820279</v>
      </c>
      <c r="D14" s="13">
        <f>-IS!I9</f>
        <v>-406.56648451730416</v>
      </c>
      <c r="E14" s="13">
        <f>-IS!J9</f>
        <v>-410.42197935640559</v>
      </c>
      <c r="F14" s="13">
        <f>-IS!K9</f>
        <v>-414.27747419550701</v>
      </c>
    </row>
    <row r="15" spans="1:6" x14ac:dyDescent="0.3">
      <c r="A15" s="3" t="s">
        <v>20</v>
      </c>
      <c r="B15" s="13">
        <f>-IS!G21</f>
        <v>-9400</v>
      </c>
      <c r="C15" s="13">
        <f>-IS!H21</f>
        <v>-8812.5</v>
      </c>
      <c r="D15" s="13">
        <f>-IS!I21</f>
        <v>-8812.5</v>
      </c>
      <c r="E15" s="13">
        <f>-IS!J21</f>
        <v>-8812.5</v>
      </c>
      <c r="F15" s="13">
        <f>-IS!K21</f>
        <v>-8812.5</v>
      </c>
    </row>
    <row r="16" spans="1:6" x14ac:dyDescent="0.3">
      <c r="A16" s="32" t="s">
        <v>145</v>
      </c>
      <c r="B16" s="13">
        <f>SUM(B12:B15)</f>
        <v>-9748.8554948391011</v>
      </c>
      <c r="C16" s="13">
        <f t="shared" ref="C16:F16" si="3">SUM(C12:C15)</f>
        <v>-9165.2109896782022</v>
      </c>
      <c r="D16" s="13">
        <f t="shared" si="3"/>
        <v>-9169.0664845173051</v>
      </c>
      <c r="E16" s="13">
        <f t="shared" si="3"/>
        <v>-9172.9219793564062</v>
      </c>
      <c r="F16" s="13">
        <f t="shared" si="3"/>
        <v>-9176.7774741955072</v>
      </c>
    </row>
    <row r="17" spans="1:6" x14ac:dyDescent="0.3">
      <c r="A17" s="3"/>
    </row>
    <row r="18" spans="1:6" x14ac:dyDescent="0.3">
      <c r="A18" s="3" t="s">
        <v>146</v>
      </c>
      <c r="B18" s="13">
        <f>B6+B10+B16</f>
        <v>-3032.3730922819614</v>
      </c>
      <c r="C18" s="13">
        <f t="shared" ref="C18:F18" si="4">C6+C10+C16</f>
        <v>2073.5240900652061</v>
      </c>
      <c r="D18" s="13">
        <f t="shared" si="4"/>
        <v>3112.5912070021641</v>
      </c>
      <c r="E18" s="13">
        <f t="shared" si="4"/>
        <v>3949.2079755547911</v>
      </c>
      <c r="F18" s="13">
        <f t="shared" si="4"/>
        <v>5005.5439305035143</v>
      </c>
    </row>
    <row r="19" spans="1:6" x14ac:dyDescent="0.3">
      <c r="A19" s="3" t="s">
        <v>147</v>
      </c>
      <c r="B19">
        <f>BS!F19</f>
        <v>6071</v>
      </c>
      <c r="C19" s="13">
        <f>B20</f>
        <v>3038.6269077180386</v>
      </c>
      <c r="D19" s="13">
        <f t="shared" ref="D19:F19" si="5">C20</f>
        <v>5112.1509977832447</v>
      </c>
      <c r="E19" s="13">
        <f t="shared" si="5"/>
        <v>8224.7422047854088</v>
      </c>
      <c r="F19" s="13">
        <f t="shared" si="5"/>
        <v>12173.9501803402</v>
      </c>
    </row>
    <row r="20" spans="1:6" x14ac:dyDescent="0.3">
      <c r="A20" s="32" t="s">
        <v>148</v>
      </c>
      <c r="B20" s="13">
        <f>B18+B19</f>
        <v>3038.6269077180386</v>
      </c>
      <c r="C20" s="13">
        <f t="shared" ref="C20:F20" si="6">C18+C19</f>
        <v>5112.1509977832447</v>
      </c>
      <c r="D20" s="13">
        <f t="shared" si="6"/>
        <v>8224.7422047854088</v>
      </c>
      <c r="E20" s="13">
        <f t="shared" si="6"/>
        <v>12173.9501803402</v>
      </c>
      <c r="F20" s="13">
        <f t="shared" si="6"/>
        <v>17179.494110843712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9421-0A36-1949-A97F-C276C914126B}">
  <dimension ref="A1:AI37"/>
  <sheetViews>
    <sheetView topLeftCell="S1" zoomScale="69" zoomScaleNormal="150" workbookViewId="0">
      <selection activeCell="AD22" sqref="AD22"/>
    </sheetView>
  </sheetViews>
  <sheetFormatPr defaultColWidth="10.796875" defaultRowHeight="15.6" x14ac:dyDescent="0.3"/>
  <cols>
    <col min="1" max="1" width="55.8984375" customWidth="1"/>
    <col min="13" max="13" width="34.19921875" customWidth="1"/>
    <col min="19" max="19" width="11.5" bestFit="1" customWidth="1"/>
    <col min="25" max="25" width="59.3984375" customWidth="1"/>
  </cols>
  <sheetData>
    <row r="1" spans="1:35" x14ac:dyDescent="0.3">
      <c r="A1" s="21" t="s">
        <v>90</v>
      </c>
      <c r="B1" s="2">
        <v>2021</v>
      </c>
      <c r="C1" s="2">
        <f>B1+1</f>
        <v>2022</v>
      </c>
      <c r="D1" s="2">
        <f t="shared" ref="D1:F1" si="0">C1+1</f>
        <v>2023</v>
      </c>
      <c r="E1" s="2">
        <f t="shared" si="0"/>
        <v>2024</v>
      </c>
      <c r="F1" s="2">
        <f t="shared" si="0"/>
        <v>2025</v>
      </c>
      <c r="G1" s="2">
        <f>F1+1</f>
        <v>2026</v>
      </c>
      <c r="H1" s="2">
        <f t="shared" ref="H1:K1" si="1">G1+1</f>
        <v>2027</v>
      </c>
      <c r="I1" s="2">
        <f t="shared" si="1"/>
        <v>2028</v>
      </c>
      <c r="J1" s="2">
        <f t="shared" si="1"/>
        <v>2029</v>
      </c>
      <c r="K1" s="2">
        <f t="shared" si="1"/>
        <v>2030</v>
      </c>
      <c r="M1" s="21" t="s">
        <v>96</v>
      </c>
      <c r="N1" s="2">
        <v>2021</v>
      </c>
      <c r="O1" s="2">
        <f>N1+1</f>
        <v>2022</v>
      </c>
      <c r="P1" s="2">
        <f t="shared" ref="P1:W1" si="2">O1+1</f>
        <v>2023</v>
      </c>
      <c r="Q1" s="2">
        <f t="shared" si="2"/>
        <v>2024</v>
      </c>
      <c r="R1" s="2">
        <f t="shared" si="2"/>
        <v>2025</v>
      </c>
      <c r="S1" s="30">
        <f t="shared" si="2"/>
        <v>2026</v>
      </c>
      <c r="T1" s="30">
        <f t="shared" si="2"/>
        <v>2027</v>
      </c>
      <c r="U1" s="30">
        <f t="shared" si="2"/>
        <v>2028</v>
      </c>
      <c r="V1" s="30">
        <f t="shared" si="2"/>
        <v>2029</v>
      </c>
      <c r="W1" s="30">
        <f t="shared" si="2"/>
        <v>2030</v>
      </c>
      <c r="Y1" s="30" t="s">
        <v>108</v>
      </c>
      <c r="Z1" s="2">
        <v>2021</v>
      </c>
      <c r="AA1" s="2">
        <f>Z1+1</f>
        <v>2022</v>
      </c>
      <c r="AB1" s="2">
        <f t="shared" ref="AB1" si="3">AA1+1</f>
        <v>2023</v>
      </c>
      <c r="AC1" s="2">
        <f t="shared" ref="AC1" si="4">AB1+1</f>
        <v>2024</v>
      </c>
      <c r="AD1" s="2">
        <f t="shared" ref="AD1" si="5">AC1+1</f>
        <v>2025</v>
      </c>
      <c r="AE1" s="30">
        <f t="shared" ref="AE1" si="6">AD1+1</f>
        <v>2026</v>
      </c>
      <c r="AF1" s="30">
        <f t="shared" ref="AF1" si="7">AE1+1</f>
        <v>2027</v>
      </c>
      <c r="AG1" s="30">
        <f t="shared" ref="AG1" si="8">AF1+1</f>
        <v>2028</v>
      </c>
      <c r="AH1" s="30">
        <f t="shared" ref="AH1" si="9">AG1+1</f>
        <v>2029</v>
      </c>
      <c r="AI1" s="30">
        <f t="shared" ref="AI1" si="10">AH1+1</f>
        <v>2030</v>
      </c>
    </row>
    <row r="2" spans="1:35" x14ac:dyDescent="0.3">
      <c r="A2" s="22" t="s">
        <v>91</v>
      </c>
      <c r="M2" s="26" t="s">
        <v>97</v>
      </c>
      <c r="N2" s="13">
        <f>BS!B4</f>
        <v>6116</v>
      </c>
      <c r="O2" s="13">
        <f>BS!C4</f>
        <v>6169</v>
      </c>
      <c r="P2" s="13">
        <f>BS!D4</f>
        <v>6949</v>
      </c>
      <c r="Q2" s="13">
        <f>BS!E4</f>
        <v>8031</v>
      </c>
      <c r="R2" s="13">
        <f>BS!F4</f>
        <v>8625</v>
      </c>
      <c r="S2" s="13">
        <f>S3+S4</f>
        <v>7980.0509453750728</v>
      </c>
      <c r="T2" s="13">
        <f t="shared" ref="T2:V2" si="11">T3+T4</f>
        <v>7265.5322114838382</v>
      </c>
      <c r="U2" s="13">
        <f t="shared" si="11"/>
        <v>6510.6562240341736</v>
      </c>
      <c r="V2" s="13">
        <f t="shared" si="11"/>
        <v>5710.7640958834272</v>
      </c>
      <c r="W2" s="13">
        <f>W3+W4</f>
        <v>4870.576938353257</v>
      </c>
      <c r="Y2" t="s">
        <v>109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6">
        <f>AD2</f>
        <v>0</v>
      </c>
      <c r="AF2" s="16">
        <f t="shared" ref="AF2:AI2" si="12">AE2</f>
        <v>0</v>
      </c>
      <c r="AG2" s="16">
        <f t="shared" si="12"/>
        <v>0</v>
      </c>
      <c r="AH2" s="16">
        <f t="shared" si="12"/>
        <v>0</v>
      </c>
      <c r="AI2" s="16">
        <f t="shared" si="12"/>
        <v>0</v>
      </c>
    </row>
    <row r="3" spans="1:35" x14ac:dyDescent="0.3">
      <c r="A3" t="s">
        <v>61</v>
      </c>
      <c r="B3" s="3">
        <f>BS!B16</f>
        <v>3579</v>
      </c>
      <c r="C3" s="3">
        <f>BS!C16</f>
        <v>4096</v>
      </c>
      <c r="D3" s="3">
        <f>BS!D16</f>
        <v>4251</v>
      </c>
      <c r="E3" s="3">
        <f>BS!E16</f>
        <v>4022</v>
      </c>
      <c r="F3" s="3">
        <f>BS!F16</f>
        <v>4415</v>
      </c>
      <c r="G3" s="3">
        <f>G22*IS!G$2/365</f>
        <v>4711.5374713909277</v>
      </c>
      <c r="H3" s="3">
        <f>H22*IS!H$2/365</f>
        <v>4987.2016932121387</v>
      </c>
      <c r="I3" s="3">
        <f>I22*IS!I$2/365</f>
        <v>5260.5437354313608</v>
      </c>
      <c r="J3" s="3">
        <f>J22*IS!J$2/365</f>
        <v>5686.2239027161613</v>
      </c>
      <c r="K3" s="3">
        <f>K22*IS!K$2/365</f>
        <v>6282.7523824260661</v>
      </c>
      <c r="M3" s="27" t="s">
        <v>98</v>
      </c>
      <c r="N3" s="13">
        <v>5067</v>
      </c>
      <c r="O3" s="13">
        <v>5101</v>
      </c>
      <c r="P3" s="13">
        <v>5767</v>
      </c>
      <c r="Q3" s="13">
        <v>6517</v>
      </c>
      <c r="R3" s="13">
        <v>6941</v>
      </c>
      <c r="S3" s="13">
        <f>S16</f>
        <v>6417.4908649874396</v>
      </c>
      <c r="T3" s="13">
        <f t="shared" ref="T3:W3" si="13">T16</f>
        <v>5837.7203569471512</v>
      </c>
      <c r="U3" s="13">
        <f t="shared" si="13"/>
        <v>5225.242379725496</v>
      </c>
      <c r="V3" s="13">
        <f t="shared" si="13"/>
        <v>4576.2838383224644</v>
      </c>
      <c r="W3" s="13">
        <f t="shared" si="13"/>
        <v>3894.6595699493555</v>
      </c>
      <c r="Y3" t="s">
        <v>110</v>
      </c>
      <c r="Z3" s="13">
        <f>BS!B39</f>
        <v>0</v>
      </c>
      <c r="AA3" s="13">
        <f>BS!C39</f>
        <v>0</v>
      </c>
      <c r="AB3" s="13">
        <f>BS!D39</f>
        <v>98</v>
      </c>
      <c r="AC3" s="13">
        <f>BS!E39</f>
        <v>13</v>
      </c>
      <c r="AD3" s="13">
        <f>BS!F39</f>
        <v>1</v>
      </c>
      <c r="AE3" s="16">
        <f>0</f>
        <v>0</v>
      </c>
      <c r="AF3" s="16">
        <f>0</f>
        <v>0</v>
      </c>
      <c r="AG3" s="16">
        <f>0</f>
        <v>0</v>
      </c>
      <c r="AH3" s="16">
        <f>0</f>
        <v>0</v>
      </c>
      <c r="AI3" s="16">
        <f>0</f>
        <v>0</v>
      </c>
    </row>
    <row r="4" spans="1:35" x14ac:dyDescent="0.3">
      <c r="A4" t="s">
        <v>54</v>
      </c>
      <c r="B4" s="3">
        <f>BS!B17</f>
        <v>2707</v>
      </c>
      <c r="C4" s="3">
        <f>BS!C17</f>
        <v>3519</v>
      </c>
      <c r="D4" s="3">
        <f>BS!D17</f>
        <v>2811</v>
      </c>
      <c r="E4" s="3">
        <f>BS!E17</f>
        <v>4558</v>
      </c>
      <c r="F4" s="3">
        <f>BS!F17</f>
        <v>3751</v>
      </c>
      <c r="G4" s="3">
        <f>G23*IS!G$2/365</f>
        <v>3988.0301766927109</v>
      </c>
      <c r="H4" s="3">
        <f>H23*IS!H$2/365</f>
        <v>4317.6685477735946</v>
      </c>
      <c r="I4" s="3">
        <f>I23*IS!I$2/365</f>
        <v>4562.1265638132118</v>
      </c>
      <c r="J4" s="3">
        <f>J23*IS!J$2/365</f>
        <v>5167.8890054077629</v>
      </c>
      <c r="K4" s="3">
        <f>K23*IS!K$2/365</f>
        <v>5449.6547881623765</v>
      </c>
      <c r="M4" s="27" t="s">
        <v>99</v>
      </c>
      <c r="N4" s="13">
        <v>1049</v>
      </c>
      <c r="O4" s="13">
        <v>1068</v>
      </c>
      <c r="P4" s="13">
        <v>1182</v>
      </c>
      <c r="Q4" s="13">
        <v>1514</v>
      </c>
      <c r="R4" s="13">
        <v>1684</v>
      </c>
      <c r="S4" s="13">
        <f t="shared" ref="S4:W5" si="14">S17</f>
        <v>1562.5600803876332</v>
      </c>
      <c r="T4" s="13">
        <f t="shared" si="14"/>
        <v>1427.8118545366872</v>
      </c>
      <c r="U4" s="13">
        <f t="shared" si="14"/>
        <v>1285.4138443086781</v>
      </c>
      <c r="V4" s="13">
        <f t="shared" si="14"/>
        <v>1134.4802575609633</v>
      </c>
      <c r="W4" s="13">
        <f t="shared" si="14"/>
        <v>975.91736840390104</v>
      </c>
      <c r="Y4" s="14" t="s">
        <v>111</v>
      </c>
      <c r="Z4" s="13">
        <f>Z2+Z3</f>
        <v>0</v>
      </c>
      <c r="AA4" s="13">
        <f t="shared" ref="AA4:AD4" si="15">AA2+AA3</f>
        <v>0</v>
      </c>
      <c r="AB4" s="13">
        <f t="shared" si="15"/>
        <v>98</v>
      </c>
      <c r="AC4" s="13">
        <f t="shared" si="15"/>
        <v>13</v>
      </c>
      <c r="AD4" s="13">
        <f t="shared" si="15"/>
        <v>1</v>
      </c>
      <c r="AE4" s="13">
        <v>0</v>
      </c>
      <c r="AF4" s="13">
        <f t="shared" ref="AF4:AI4" si="16">AE4+AF21</f>
        <v>0</v>
      </c>
      <c r="AG4" s="13">
        <f t="shared" si="16"/>
        <v>0</v>
      </c>
      <c r="AH4" s="13">
        <f t="shared" si="16"/>
        <v>0</v>
      </c>
      <c r="AI4" s="13">
        <f t="shared" si="16"/>
        <v>0</v>
      </c>
    </row>
    <row r="5" spans="1:35" x14ac:dyDescent="0.3">
      <c r="A5" t="s">
        <v>62</v>
      </c>
      <c r="B5" s="3">
        <f>BS!B18</f>
        <v>1758</v>
      </c>
      <c r="C5" s="3">
        <f>BS!C18</f>
        <v>2236</v>
      </c>
      <c r="D5" s="3">
        <f>BS!D18</f>
        <v>3079</v>
      </c>
      <c r="E5" s="3">
        <f>BS!E18</f>
        <v>2997</v>
      </c>
      <c r="F5" s="3">
        <f>BS!F18</f>
        <v>3819</v>
      </c>
      <c r="G5" s="3">
        <f>G24*IS!G$2/365</f>
        <v>3144.1060708287018</v>
      </c>
      <c r="H5" s="3">
        <f>H24*IS!H$2/365</f>
        <v>3516.3504232572036</v>
      </c>
      <c r="I5" s="3">
        <f>I24*IS!I$2/365</f>
        <v>3896.9518541567213</v>
      </c>
      <c r="J5" s="3">
        <f>J24*IS!J$2/365</f>
        <v>4231.2306532635466</v>
      </c>
      <c r="K5" s="3">
        <f>K24*IS!K$2/365</f>
        <v>4673.9217396949971</v>
      </c>
      <c r="M5" s="26" t="s">
        <v>100</v>
      </c>
      <c r="N5" s="13">
        <f>BS!B7</f>
        <v>27930</v>
      </c>
      <c r="O5" s="13">
        <f>BS!C7</f>
        <v>27907</v>
      </c>
      <c r="P5" s="13">
        <f>BS!D7</f>
        <v>28263</v>
      </c>
      <c r="Q5" s="13">
        <f>BS!E7</f>
        <v>28247</v>
      </c>
      <c r="R5" s="13">
        <f>BS!F7</f>
        <v>28243</v>
      </c>
      <c r="S5" s="13">
        <f t="shared" si="14"/>
        <v>29424.955249370858</v>
      </c>
      <c r="T5" s="13">
        <f t="shared" si="14"/>
        <v>30581.051886932328</v>
      </c>
      <c r="U5" s="13">
        <f t="shared" si="14"/>
        <v>31773.819261724173</v>
      </c>
      <c r="V5" s="13">
        <f t="shared" si="14"/>
        <v>33005.512946052775</v>
      </c>
      <c r="W5" s="13">
        <f t="shared" si="14"/>
        <v>34280.202289772809</v>
      </c>
      <c r="Z5" s="13"/>
      <c r="AA5" s="13"/>
      <c r="AB5" s="13"/>
      <c r="AC5" s="13"/>
      <c r="AD5" s="13"/>
    </row>
    <row r="6" spans="1:35" x14ac:dyDescent="0.3">
      <c r="A6" t="s">
        <v>64</v>
      </c>
      <c r="B6" s="3">
        <f>BS!B20</f>
        <v>2629</v>
      </c>
      <c r="C6" s="3">
        <f>BS!C20</f>
        <v>2699</v>
      </c>
      <c r="D6" s="3">
        <f>BS!D20</f>
        <v>3964</v>
      </c>
      <c r="E6" s="3">
        <f>BS!E20</f>
        <v>6734</v>
      </c>
      <c r="F6" s="3">
        <f>BS!F20</f>
        <v>1483</v>
      </c>
      <c r="G6" s="3">
        <f>G25*IS!G$2/365</f>
        <v>3952.2250983622548</v>
      </c>
      <c r="H6" s="3">
        <f>H25*IS!H$2/365</f>
        <v>4425.9732587599719</v>
      </c>
      <c r="I6" s="3">
        <f>I25*IS!I$2/365</f>
        <v>4970.4570147148088</v>
      </c>
      <c r="J6" s="3">
        <f>J25*IS!J$2/365</f>
        <v>5605.8807174348267</v>
      </c>
      <c r="K6" s="3">
        <f>K25*IS!K$2/365</f>
        <v>6359.4520550396255</v>
      </c>
      <c r="Y6" t="s">
        <v>112</v>
      </c>
      <c r="Z6" s="13">
        <f>BS!B33</f>
        <v>731</v>
      </c>
      <c r="AA6" s="13">
        <f>BS!C33</f>
        <v>741</v>
      </c>
      <c r="AB6" s="13">
        <f>BS!D33</f>
        <v>807</v>
      </c>
      <c r="AC6" s="13">
        <f>BS!E33</f>
        <v>1106</v>
      </c>
      <c r="AD6" s="13">
        <f>BS!F33</f>
        <v>1243</v>
      </c>
      <c r="AE6" s="16">
        <f>AD$6/AD$8*AE$8</f>
        <v>1280.7352762598664</v>
      </c>
      <c r="AF6" s="16">
        <f t="shared" ref="AF6:AI6" si="17">AE$6/AE$8*AF$8</f>
        <v>1318.4705525197328</v>
      </c>
      <c r="AG6" s="16">
        <f t="shared" si="17"/>
        <v>1356.2058287795992</v>
      </c>
      <c r="AH6" s="16">
        <f t="shared" si="17"/>
        <v>1393.9411050394656</v>
      </c>
      <c r="AI6" s="16">
        <f t="shared" si="17"/>
        <v>1431.676381299332</v>
      </c>
    </row>
    <row r="7" spans="1:35" x14ac:dyDescent="0.3">
      <c r="A7" t="s">
        <v>55</v>
      </c>
      <c r="B7" s="3">
        <f>BS!B21</f>
        <v>34</v>
      </c>
      <c r="C7" s="3">
        <f>BS!C21</f>
        <v>35</v>
      </c>
      <c r="D7" s="3">
        <f>BS!D21</f>
        <v>36</v>
      </c>
      <c r="E7" s="3">
        <f>BS!E21</f>
        <v>38</v>
      </c>
      <c r="F7" s="3">
        <f>BS!F21</f>
        <v>46</v>
      </c>
      <c r="G7" s="3">
        <f>G26*IS!G$2/365</f>
        <v>43.631208833966753</v>
      </c>
      <c r="H7" s="3">
        <f>H26*IS!H$2/365</f>
        <v>45.928107355039764</v>
      </c>
      <c r="I7" s="3">
        <f>I26*IS!I$2/365</f>
        <v>49.229403012408476</v>
      </c>
      <c r="J7" s="3">
        <f>J26*IS!J$2/365</f>
        <v>54.234903811558027</v>
      </c>
      <c r="K7" s="3">
        <f>K26*IS!K$2/365</f>
        <v>60.028880101733186</v>
      </c>
      <c r="M7" s="22" t="s">
        <v>101</v>
      </c>
      <c r="N7" s="13">
        <f>SUM(N8:N10)</f>
        <v>37527</v>
      </c>
      <c r="O7" s="13">
        <f t="shared" ref="O7:R7" si="18">SUM(O8:O10)</f>
        <v>38181</v>
      </c>
      <c r="P7" s="13">
        <f t="shared" si="18"/>
        <v>40098</v>
      </c>
      <c r="Q7" s="13">
        <f t="shared" si="18"/>
        <v>41782</v>
      </c>
      <c r="R7" s="13">
        <f t="shared" si="18"/>
        <v>43298</v>
      </c>
      <c r="S7" s="13">
        <f>R7+S22</f>
        <v>45153</v>
      </c>
      <c r="T7" s="13">
        <f t="shared" ref="T7:W7" si="19">S7+T22</f>
        <v>46970.993805254067</v>
      </c>
      <c r="U7" s="13">
        <f t="shared" si="19"/>
        <v>48847.409706837898</v>
      </c>
      <c r="V7" s="13">
        <f>U7+V22</f>
        <v>50785.934221079551</v>
      </c>
      <c r="W7" s="13">
        <f t="shared" si="19"/>
        <v>52792.657179143345</v>
      </c>
      <c r="Y7" t="s">
        <v>113</v>
      </c>
      <c r="Z7" s="13">
        <f>BS!B40</f>
        <v>278</v>
      </c>
      <c r="AA7" s="13">
        <f>BS!C40</f>
        <v>302</v>
      </c>
      <c r="AB7" s="13">
        <f>BS!D40</f>
        <v>314</v>
      </c>
      <c r="AC7" s="13">
        <f>BS!E40</f>
        <v>365</v>
      </c>
      <c r="AD7" s="13">
        <f>BS!F40</f>
        <v>404</v>
      </c>
      <c r="AE7" s="16">
        <f>AD$7/AD$8*AE$8</f>
        <v>416.2647237401336</v>
      </c>
      <c r="AF7" s="16">
        <f t="shared" ref="AF7:AI7" si="20">AE$7/AE$8*AF$8</f>
        <v>428.52944748026721</v>
      </c>
      <c r="AG7" s="16">
        <f t="shared" si="20"/>
        <v>440.79417122040076</v>
      </c>
      <c r="AH7" s="16">
        <f t="shared" si="20"/>
        <v>453.05889496053436</v>
      </c>
      <c r="AI7" s="16">
        <f t="shared" si="20"/>
        <v>465.32361870066791</v>
      </c>
    </row>
    <row r="8" spans="1:35" x14ac:dyDescent="0.3">
      <c r="A8" t="s">
        <v>65</v>
      </c>
      <c r="B8" s="3">
        <f>BS!B22</f>
        <v>1154</v>
      </c>
      <c r="C8" s="3">
        <f>BS!C22</f>
        <v>1089</v>
      </c>
      <c r="D8" s="3">
        <f>BS!D22</f>
        <v>1386</v>
      </c>
      <c r="E8" s="3">
        <f>BS!E22</f>
        <v>1425</v>
      </c>
      <c r="F8" s="3">
        <f>BS!F22</f>
        <v>1488</v>
      </c>
      <c r="G8" s="3">
        <f>G27*IS!G$2/365</f>
        <v>1505.1165127981715</v>
      </c>
      <c r="H8" s="3">
        <f>H27*IS!H$2/365</f>
        <v>1589.9892484891056</v>
      </c>
      <c r="I8" s="3">
        <f>I27*IS!I$2/365</f>
        <v>1739.6248423525703</v>
      </c>
      <c r="J8" s="3">
        <f>J27*IS!J$2/365</f>
        <v>1885.7378584323176</v>
      </c>
      <c r="K8" s="3">
        <f>K27*IS!K$2/365</f>
        <v>2057.265113395586</v>
      </c>
      <c r="M8" t="s">
        <v>98</v>
      </c>
      <c r="N8" s="3">
        <v>7896</v>
      </c>
      <c r="O8" s="3">
        <v>8402</v>
      </c>
      <c r="P8" s="3">
        <v>9663</v>
      </c>
      <c r="Q8" s="3">
        <v>10999</v>
      </c>
      <c r="R8" s="3">
        <v>12004</v>
      </c>
      <c r="S8" s="13">
        <f>$R8/$R$7*S$7</f>
        <v>12518.282876807243</v>
      </c>
      <c r="T8" s="13">
        <f t="shared" ref="T8:W8" si="21">$R8/$R$7*T$7</f>
        <v>13022.306102782342</v>
      </c>
      <c r="U8" s="13">
        <f t="shared" si="21"/>
        <v>13542.52635504832</v>
      </c>
      <c r="V8" s="13">
        <f t="shared" si="21"/>
        <v>14079.965688711694</v>
      </c>
      <c r="W8" s="13">
        <f t="shared" si="21"/>
        <v>14636.312457352227</v>
      </c>
      <c r="Y8" s="14" t="s">
        <v>114</v>
      </c>
      <c r="Z8" s="13">
        <f>Z6+Z7</f>
        <v>1009</v>
      </c>
      <c r="AA8" s="13">
        <f t="shared" ref="AA8:AD8" si="22">AA6+AA7</f>
        <v>1043</v>
      </c>
      <c r="AB8" s="13">
        <f t="shared" si="22"/>
        <v>1121</v>
      </c>
      <c r="AC8" s="13">
        <f t="shared" si="22"/>
        <v>1471</v>
      </c>
      <c r="AD8" s="13">
        <f t="shared" si="22"/>
        <v>1647</v>
      </c>
      <c r="AE8" s="13">
        <f>AD8+AE22</f>
        <v>1697</v>
      </c>
      <c r="AF8" s="13">
        <f t="shared" ref="AF8:AI8" si="23">AE8+AF22</f>
        <v>1747</v>
      </c>
      <c r="AG8" s="13">
        <f t="shared" si="23"/>
        <v>1797</v>
      </c>
      <c r="AH8" s="13">
        <f t="shared" si="23"/>
        <v>1847</v>
      </c>
      <c r="AI8" s="13">
        <f t="shared" si="23"/>
        <v>1897</v>
      </c>
    </row>
    <row r="9" spans="1:35" x14ac:dyDescent="0.3">
      <c r="A9" t="s">
        <v>66</v>
      </c>
      <c r="B9" s="3">
        <f>BS!B23</f>
        <v>497</v>
      </c>
      <c r="C9" s="3">
        <f>BS!C23</f>
        <v>688</v>
      </c>
      <c r="D9" s="3">
        <f>BS!D23</f>
        <v>745</v>
      </c>
      <c r="E9" s="3">
        <f>BS!E23</f>
        <v>713</v>
      </c>
      <c r="F9" s="3">
        <f>BS!F23</f>
        <v>955</v>
      </c>
      <c r="G9" s="3">
        <f>G28*IS!G$2/365</f>
        <v>821.31894768637073</v>
      </c>
      <c r="H9" s="3">
        <f>H28*IS!H$2/365</f>
        <v>907.27728045667823</v>
      </c>
      <c r="I9" s="3">
        <f>I28*IS!I$2/365</f>
        <v>973.47184859047559</v>
      </c>
      <c r="J9" s="3">
        <f>J28*IS!J$2/365</f>
        <v>1063.4999079490065</v>
      </c>
      <c r="K9" s="3">
        <f>K28*IS!K$2/365</f>
        <v>1186.3884917233454</v>
      </c>
      <c r="M9" t="s">
        <v>99</v>
      </c>
      <c r="N9" s="3">
        <v>1611</v>
      </c>
      <c r="O9" s="3">
        <v>1762</v>
      </c>
      <c r="P9" s="3">
        <v>2038</v>
      </c>
      <c r="Q9" s="3">
        <v>2377</v>
      </c>
      <c r="R9" s="3">
        <v>2878</v>
      </c>
      <c r="S9" s="13">
        <f t="shared" ref="S9:W10" si="24">$R9/$R$7*S$7</f>
        <v>3001.301076262183</v>
      </c>
      <c r="T9" s="13">
        <f t="shared" si="24"/>
        <v>3122.1423661952331</v>
      </c>
      <c r="U9" s="13">
        <f t="shared" si="24"/>
        <v>3246.8669485029209</v>
      </c>
      <c r="V9" s="13">
        <f t="shared" si="24"/>
        <v>3375.7198643878919</v>
      </c>
      <c r="W9" s="13">
        <f t="shared" si="24"/>
        <v>3509.1059023875132</v>
      </c>
    </row>
    <row r="10" spans="1:35" x14ac:dyDescent="0.3">
      <c r="A10" t="s">
        <v>67</v>
      </c>
      <c r="B10" s="3">
        <f>BS!B24</f>
        <v>17</v>
      </c>
      <c r="C10" s="3">
        <f>BS!C24</f>
        <v>13</v>
      </c>
      <c r="D10" s="3">
        <f>BS!D24</f>
        <v>12</v>
      </c>
      <c r="E10" s="3">
        <f>BS!E24</f>
        <v>12</v>
      </c>
      <c r="F10" s="3">
        <f>BS!F24</f>
        <v>23</v>
      </c>
      <c r="G10" s="3">
        <f>G29*IS!G$2/365</f>
        <v>17.908813636576365</v>
      </c>
      <c r="H10" s="3">
        <f>H29*IS!H$2/365</f>
        <v>17.942208043395613</v>
      </c>
      <c r="I10" s="3">
        <f>I29*IS!I$2/365</f>
        <v>19.425831697330587</v>
      </c>
      <c r="J10" s="3">
        <f>J29*IS!J$2/365</f>
        <v>21.996944870302222</v>
      </c>
      <c r="K10" s="3">
        <f>K29*IS!K$2/365</f>
        <v>25.331259417007146</v>
      </c>
      <c r="M10" t="s">
        <v>52</v>
      </c>
      <c r="N10" s="3">
        <v>28020</v>
      </c>
      <c r="O10" s="3">
        <v>28017</v>
      </c>
      <c r="P10" s="3">
        <v>28397</v>
      </c>
      <c r="Q10" s="3">
        <v>28406</v>
      </c>
      <c r="R10" s="3">
        <v>28416</v>
      </c>
      <c r="S10" s="13">
        <f t="shared" si="24"/>
        <v>29633.416046930572</v>
      </c>
      <c r="T10" s="13">
        <f t="shared" si="24"/>
        <v>30826.545336276489</v>
      </c>
      <c r="U10" s="13">
        <f t="shared" si="24"/>
        <v>32058.016403286656</v>
      </c>
      <c r="V10" s="13">
        <f t="shared" si="24"/>
        <v>33330.248667979962</v>
      </c>
      <c r="W10" s="13">
        <f>$R10/$R$7*W$7</f>
        <v>34647.238819403603</v>
      </c>
      <c r="Y10" t="s">
        <v>115</v>
      </c>
      <c r="Z10" s="31">
        <v>2</v>
      </c>
      <c r="AA10" s="31">
        <v>2</v>
      </c>
      <c r="AB10" s="31">
        <v>4</v>
      </c>
      <c r="AC10" s="31">
        <v>4</v>
      </c>
      <c r="AD10" s="31">
        <v>3</v>
      </c>
      <c r="AE10" s="13">
        <f>AD10</f>
        <v>3</v>
      </c>
      <c r="AF10" s="13">
        <f t="shared" ref="AF10:AI10" si="25">AE10</f>
        <v>3</v>
      </c>
      <c r="AG10" s="13">
        <f t="shared" si="25"/>
        <v>3</v>
      </c>
      <c r="AH10" s="13">
        <f t="shared" si="25"/>
        <v>3</v>
      </c>
      <c r="AI10" s="13">
        <f t="shared" si="25"/>
        <v>3</v>
      </c>
    </row>
    <row r="11" spans="1:35" x14ac:dyDescent="0.3">
      <c r="A11" s="23" t="s">
        <v>81</v>
      </c>
      <c r="M11" s="22" t="s">
        <v>102</v>
      </c>
      <c r="N11" s="13">
        <f>SUM(N12:N14)</f>
        <v>3481</v>
      </c>
      <c r="O11" s="13">
        <f t="shared" ref="O11" si="26">SUM(O12:O14)</f>
        <v>4105</v>
      </c>
      <c r="P11" s="13">
        <f t="shared" ref="P11" si="27">SUM(P12:P14)</f>
        <v>4886</v>
      </c>
      <c r="Q11" s="13">
        <f t="shared" ref="Q11" si="28">SUM(Q12:Q14)</f>
        <v>5504</v>
      </c>
      <c r="R11" s="13">
        <f t="shared" ref="R11" si="29">SUM(R12:R14)</f>
        <v>6430</v>
      </c>
      <c r="S11" s="13">
        <f>R11+S19</f>
        <v>7747.9938052540665</v>
      </c>
      <c r="T11" s="13">
        <f t="shared" ref="T11:W11" si="30">S11+T19</f>
        <v>9124.4097068378978</v>
      </c>
      <c r="U11" s="13">
        <f t="shared" si="30"/>
        <v>10562.934221079549</v>
      </c>
      <c r="V11" s="13">
        <f t="shared" si="30"/>
        <v>12069.657179143343</v>
      </c>
      <c r="W11" s="13">
        <f t="shared" si="30"/>
        <v>13641.877951017275</v>
      </c>
      <c r="Y11" t="s">
        <v>116</v>
      </c>
      <c r="Z11" s="31">
        <v>13</v>
      </c>
      <c r="AA11" s="31">
        <v>15</v>
      </c>
      <c r="AB11" s="31">
        <v>16</v>
      </c>
      <c r="AC11" s="31">
        <v>24</v>
      </c>
      <c r="AD11" s="31">
        <v>23</v>
      </c>
      <c r="AE11" s="13">
        <f t="shared" ref="AE11:AI13" si="31">AD11</f>
        <v>23</v>
      </c>
      <c r="AF11" s="13">
        <f t="shared" si="31"/>
        <v>23</v>
      </c>
      <c r="AG11" s="13">
        <f t="shared" si="31"/>
        <v>23</v>
      </c>
      <c r="AH11" s="13">
        <f t="shared" si="31"/>
        <v>23</v>
      </c>
      <c r="AI11" s="13">
        <f t="shared" si="31"/>
        <v>23</v>
      </c>
    </row>
    <row r="12" spans="1:35" x14ac:dyDescent="0.3">
      <c r="A12" t="s">
        <v>83</v>
      </c>
      <c r="B12" s="3">
        <f>BS!B41</f>
        <v>67</v>
      </c>
      <c r="C12" s="3">
        <f>BS!C41</f>
        <v>60</v>
      </c>
      <c r="D12" s="3">
        <f>BS!D41</f>
        <v>100</v>
      </c>
      <c r="E12" s="3">
        <f>BS!E41</f>
        <v>250</v>
      </c>
      <c r="F12" s="3">
        <f>BS!F41</f>
        <v>263</v>
      </c>
      <c r="G12" s="3">
        <f>G32*IS!G$2/365</f>
        <v>162.9390301575917</v>
      </c>
      <c r="H12" s="3">
        <f>H32*IS!H$2/365</f>
        <v>189.43074027915785</v>
      </c>
      <c r="I12" s="3">
        <f>I32*IS!I$2/365</f>
        <v>227.35525999800439</v>
      </c>
      <c r="J12" s="3">
        <f>J32*IS!J$2/365</f>
        <v>268.37552357995315</v>
      </c>
      <c r="K12" s="3">
        <f>K32*IS!K$2/365</f>
        <v>279.17221154557978</v>
      </c>
      <c r="M12" t="s">
        <v>98</v>
      </c>
      <c r="N12" s="3">
        <v>2829</v>
      </c>
      <c r="O12" s="3">
        <v>3301</v>
      </c>
      <c r="P12" s="3">
        <v>3896</v>
      </c>
      <c r="Q12" s="3">
        <v>4482</v>
      </c>
      <c r="R12" s="3">
        <v>5063</v>
      </c>
      <c r="S12" s="13">
        <f>$R12/$R$11*S$11</f>
        <v>6100.7920118198035</v>
      </c>
      <c r="T12" s="13">
        <f t="shared" ref="T12:W12" si="32">$R12/$R$11*T$11</f>
        <v>7184.5857458351911</v>
      </c>
      <c r="U12" s="13">
        <f t="shared" si="32"/>
        <v>8317.2839753228236</v>
      </c>
      <c r="V12" s="13">
        <f t="shared" si="32"/>
        <v>9503.68185038923</v>
      </c>
      <c r="W12" s="13">
        <f t="shared" si="32"/>
        <v>10741.652887402872</v>
      </c>
      <c r="Y12" t="s">
        <v>117</v>
      </c>
      <c r="Z12" s="31">
        <v>6</v>
      </c>
      <c r="AA12" s="31">
        <v>3</v>
      </c>
      <c r="AB12" s="31">
        <v>2</v>
      </c>
      <c r="AC12" s="31">
        <v>20</v>
      </c>
      <c r="AD12" s="31">
        <v>16</v>
      </c>
      <c r="AE12" s="13">
        <f t="shared" si="31"/>
        <v>16</v>
      </c>
      <c r="AF12" s="13">
        <f t="shared" si="31"/>
        <v>16</v>
      </c>
      <c r="AG12" s="13">
        <f t="shared" si="31"/>
        <v>16</v>
      </c>
      <c r="AH12" s="13">
        <f t="shared" si="31"/>
        <v>16</v>
      </c>
      <c r="AI12" s="13">
        <f t="shared" si="31"/>
        <v>16</v>
      </c>
    </row>
    <row r="13" spans="1:35" x14ac:dyDescent="0.3">
      <c r="A13" t="s">
        <v>84</v>
      </c>
      <c r="B13" s="3">
        <f>BS!B42</f>
        <v>8735</v>
      </c>
      <c r="C13" s="3">
        <f>BS!C42</f>
        <v>9008</v>
      </c>
      <c r="D13" s="3">
        <f>BS!D42</f>
        <v>9474</v>
      </c>
      <c r="E13" s="3">
        <f>BS!E42</f>
        <v>10236</v>
      </c>
      <c r="F13" s="3">
        <f>BS!F42</f>
        <v>11052</v>
      </c>
      <c r="G13" s="3">
        <f>G33*IS!G$2/365</f>
        <v>11203.295228281786</v>
      </c>
      <c r="H13" s="3">
        <f>H33*IS!H$2/365</f>
        <v>11791.661407742848</v>
      </c>
      <c r="I13" s="3">
        <f>I33*IS!I$2/365</f>
        <v>12632.890836144232</v>
      </c>
      <c r="J13" s="3">
        <f>J33*IS!J$2/365</f>
        <v>13853.612634030018</v>
      </c>
      <c r="K13" s="3">
        <f>K33*IS!K$2/365</f>
        <v>15180.895724531249</v>
      </c>
      <c r="M13" t="s">
        <v>99</v>
      </c>
      <c r="N13" s="3">
        <v>562</v>
      </c>
      <c r="O13" s="3">
        <v>694</v>
      </c>
      <c r="P13" s="3">
        <v>856</v>
      </c>
      <c r="Q13" s="3">
        <v>863</v>
      </c>
      <c r="R13" s="3">
        <v>1194</v>
      </c>
      <c r="S13" s="13">
        <f t="shared" ref="S13:W14" si="33">$R13/$R$11*S$11</f>
        <v>1438.7409958745498</v>
      </c>
      <c r="T13" s="13">
        <f t="shared" si="33"/>
        <v>1694.3305116585459</v>
      </c>
      <c r="U13" s="13">
        <f t="shared" si="33"/>
        <v>1961.4531041942428</v>
      </c>
      <c r="V13" s="13">
        <f t="shared" si="33"/>
        <v>2241.2396068269286</v>
      </c>
      <c r="W13" s="13">
        <f t="shared" si="33"/>
        <v>2533.1885339836122</v>
      </c>
      <c r="Y13" t="s">
        <v>118</v>
      </c>
      <c r="Z13" s="31">
        <v>6</v>
      </c>
      <c r="AA13" s="31">
        <v>4</v>
      </c>
      <c r="AB13" s="31">
        <v>8</v>
      </c>
      <c r="AC13" s="31">
        <v>9</v>
      </c>
      <c r="AD13" s="31">
        <v>11</v>
      </c>
      <c r="AE13" s="13">
        <f t="shared" si="31"/>
        <v>11</v>
      </c>
      <c r="AF13" s="13">
        <f t="shared" si="31"/>
        <v>11</v>
      </c>
      <c r="AG13" s="13">
        <f t="shared" si="31"/>
        <v>11</v>
      </c>
      <c r="AH13" s="13">
        <f t="shared" si="31"/>
        <v>11</v>
      </c>
      <c r="AI13" s="13">
        <f t="shared" si="31"/>
        <v>11</v>
      </c>
    </row>
    <row r="14" spans="1:35" x14ac:dyDescent="0.3">
      <c r="A14" t="s">
        <v>85</v>
      </c>
      <c r="B14" s="3">
        <f>BS!B43</f>
        <v>928</v>
      </c>
      <c r="C14" s="3">
        <f>BS!C43</f>
        <v>899</v>
      </c>
      <c r="D14" s="3">
        <f>BS!D43</f>
        <v>889</v>
      </c>
      <c r="E14" s="3">
        <f>BS!E43</f>
        <v>865</v>
      </c>
      <c r="F14" s="3">
        <f>BS!F43</f>
        <v>1280</v>
      </c>
      <c r="G14" s="3">
        <f>G34*IS!G$2/365</f>
        <v>1125.1487732190817</v>
      </c>
      <c r="H14" s="3">
        <f>H34*IS!H$2/365</f>
        <v>1169.0812725245305</v>
      </c>
      <c r="I14" s="3">
        <f>I34*IS!I$2/365</f>
        <v>1250.7834307533542</v>
      </c>
      <c r="J14" s="3">
        <f>J34*IS!J$2/365</f>
        <v>1384.8931407118876</v>
      </c>
      <c r="K14" s="3">
        <f>K34*IS!K$2/365</f>
        <v>1563.22879332711</v>
      </c>
      <c r="M14" t="s">
        <v>52</v>
      </c>
      <c r="N14" s="3">
        <v>90</v>
      </c>
      <c r="O14" s="3">
        <v>110</v>
      </c>
      <c r="P14" s="3">
        <v>134</v>
      </c>
      <c r="Q14" s="3">
        <v>159</v>
      </c>
      <c r="R14" s="3">
        <v>173</v>
      </c>
      <c r="S14" s="13">
        <f t="shared" si="33"/>
        <v>208.46079755971283</v>
      </c>
      <c r="T14" s="13">
        <f t="shared" si="33"/>
        <v>245.49344934416115</v>
      </c>
      <c r="U14" s="13">
        <f t="shared" si="33"/>
        <v>284.19714156248244</v>
      </c>
      <c r="V14" s="13">
        <f t="shared" si="33"/>
        <v>324.73572192718478</v>
      </c>
      <c r="W14" s="13">
        <f t="shared" si="33"/>
        <v>367.03652963079139</v>
      </c>
      <c r="Y14" t="s">
        <v>119</v>
      </c>
      <c r="Z14" s="31">
        <v>86</v>
      </c>
      <c r="AA14" s="31">
        <v>80</v>
      </c>
      <c r="AB14" s="31">
        <v>84</v>
      </c>
      <c r="AC14" s="31">
        <v>106</v>
      </c>
      <c r="AD14" s="31">
        <v>127</v>
      </c>
      <c r="AE14" s="16">
        <f>AE19*AE8</f>
        <v>130.8554948391014</v>
      </c>
      <c r="AF14" s="16">
        <f t="shared" ref="AF14:AI14" si="34">AF19*AF8</f>
        <v>134.71098967820279</v>
      </c>
      <c r="AG14" s="16">
        <f t="shared" si="34"/>
        <v>138.56648451730419</v>
      </c>
      <c r="AH14" s="16">
        <f t="shared" si="34"/>
        <v>142.42197935640559</v>
      </c>
      <c r="AI14" s="16">
        <f t="shared" si="34"/>
        <v>146.27747419550698</v>
      </c>
    </row>
    <row r="15" spans="1:35" x14ac:dyDescent="0.3">
      <c r="A15" t="s">
        <v>86</v>
      </c>
      <c r="B15" s="3">
        <f>BS!B44</f>
        <v>588</v>
      </c>
      <c r="C15" s="3">
        <f>BS!C44</f>
        <v>665</v>
      </c>
      <c r="D15" s="3">
        <f>BS!D44</f>
        <v>764</v>
      </c>
      <c r="E15" s="3">
        <f>BS!E44</f>
        <v>807</v>
      </c>
      <c r="F15" s="3">
        <f>BS!F44</f>
        <v>959</v>
      </c>
      <c r="G15" s="3">
        <f>G35*IS!G$2/365</f>
        <v>865.80651559787134</v>
      </c>
      <c r="H15" s="3">
        <f>H35*IS!H$2/365</f>
        <v>937.27979072043274</v>
      </c>
      <c r="I15" s="3">
        <f>I35*IS!I$2/365</f>
        <v>1018.8469080137738</v>
      </c>
      <c r="J15" s="3">
        <f>J35*IS!J$2/365</f>
        <v>1117.3204997406838</v>
      </c>
      <c r="K15" s="3">
        <f>K35*IS!K$2/365</f>
        <v>1229.7205151288283</v>
      </c>
      <c r="M15" s="22" t="s">
        <v>103</v>
      </c>
      <c r="N15" s="13">
        <f>SUM(N16:N18)</f>
        <v>34046</v>
      </c>
      <c r="O15" s="13">
        <f t="shared" ref="O15:R15" si="35">SUM(O16:O18)</f>
        <v>34076</v>
      </c>
      <c r="P15" s="13">
        <f t="shared" si="35"/>
        <v>35212</v>
      </c>
      <c r="Q15" s="13">
        <f t="shared" si="35"/>
        <v>36278</v>
      </c>
      <c r="R15" s="13">
        <f t="shared" si="35"/>
        <v>36868</v>
      </c>
      <c r="S15" s="13">
        <f>S7-S11</f>
        <v>37405.006194745933</v>
      </c>
      <c r="T15" s="13">
        <f t="shared" ref="T15:W15" si="36">T7-T11</f>
        <v>37846.58409841617</v>
      </c>
      <c r="U15" s="13">
        <f t="shared" si="36"/>
        <v>38284.475485758347</v>
      </c>
      <c r="V15" s="13">
        <f t="shared" si="36"/>
        <v>38716.277041936206</v>
      </c>
      <c r="W15" s="13">
        <f t="shared" si="36"/>
        <v>39150.77922812607</v>
      </c>
      <c r="Y15" t="s">
        <v>120</v>
      </c>
      <c r="Z15" s="31">
        <v>4</v>
      </c>
      <c r="AA15" s="31">
        <v>2</v>
      </c>
      <c r="AB15" s="31" t="s">
        <v>127</v>
      </c>
      <c r="AC15" s="31">
        <v>171</v>
      </c>
      <c r="AD15" s="31">
        <v>215</v>
      </c>
      <c r="AE15" s="13">
        <f>AD15</f>
        <v>215</v>
      </c>
      <c r="AF15" s="13">
        <f t="shared" ref="AF15:AI15" si="37">AE15</f>
        <v>215</v>
      </c>
      <c r="AG15" s="13">
        <f t="shared" si="37"/>
        <v>215</v>
      </c>
      <c r="AH15" s="13">
        <f t="shared" si="37"/>
        <v>215</v>
      </c>
      <c r="AI15" s="13">
        <f t="shared" si="37"/>
        <v>215</v>
      </c>
    </row>
    <row r="16" spans="1:35" x14ac:dyDescent="0.3">
      <c r="A16" t="s">
        <v>87</v>
      </c>
      <c r="B16" s="3">
        <f>BS!B45</f>
        <v>507</v>
      </c>
      <c r="C16" s="3">
        <f>BS!C45</f>
        <v>346</v>
      </c>
      <c r="D16" s="3">
        <f>BS!D45</f>
        <v>389</v>
      </c>
      <c r="E16" s="3">
        <f>BS!E45</f>
        <v>340</v>
      </c>
      <c r="F16" s="3">
        <f>BS!F45</f>
        <v>675</v>
      </c>
      <c r="G16" s="3">
        <f>G36*IS!G$2/365</f>
        <v>524.35366431443174</v>
      </c>
      <c r="H16" s="3">
        <f>H36*IS!H$2/365</f>
        <v>522.5667072877568</v>
      </c>
      <c r="I16" s="3">
        <f>I36*IS!I$2/365</f>
        <v>575.17835618186507</v>
      </c>
      <c r="J16" s="3">
        <f>J36*IS!J$2/365</f>
        <v>642.2022867161395</v>
      </c>
      <c r="K16" s="3">
        <f>K36*IS!K$2/365</f>
        <v>742.53087834677876</v>
      </c>
      <c r="M16" t="s">
        <v>98</v>
      </c>
      <c r="N16" s="13">
        <f>N8-N12</f>
        <v>5067</v>
      </c>
      <c r="O16" s="13">
        <f t="shared" ref="O16:S16" si="38">O8-O12</f>
        <v>5101</v>
      </c>
      <c r="P16" s="13">
        <f t="shared" si="38"/>
        <v>5767</v>
      </c>
      <c r="Q16" s="13">
        <f t="shared" si="38"/>
        <v>6517</v>
      </c>
      <c r="R16" s="13">
        <f t="shared" si="38"/>
        <v>6941</v>
      </c>
      <c r="S16" s="13">
        <f t="shared" si="38"/>
        <v>6417.4908649874396</v>
      </c>
      <c r="T16" s="13">
        <f t="shared" ref="T16:W16" si="39">T8-T12</f>
        <v>5837.7203569471512</v>
      </c>
      <c r="U16" s="13">
        <f t="shared" si="39"/>
        <v>5225.242379725496</v>
      </c>
      <c r="V16" s="13">
        <f t="shared" si="39"/>
        <v>4576.2838383224644</v>
      </c>
      <c r="W16" s="13">
        <f t="shared" si="39"/>
        <v>3894.6595699493555</v>
      </c>
      <c r="Y16" s="14" t="s">
        <v>121</v>
      </c>
      <c r="Z16" s="13">
        <f>SUM(Z10:Z15)</f>
        <v>117</v>
      </c>
      <c r="AA16" s="13">
        <f t="shared" ref="AA16:AD16" si="40">SUM(AA10:AA15)</f>
        <v>106</v>
      </c>
      <c r="AB16" s="13">
        <f t="shared" si="40"/>
        <v>114</v>
      </c>
      <c r="AC16" s="13">
        <f t="shared" si="40"/>
        <v>334</v>
      </c>
      <c r="AD16" s="13">
        <f t="shared" si="40"/>
        <v>395</v>
      </c>
      <c r="AE16" s="13">
        <f t="shared" ref="AE16" si="41">SUM(AE10:AE15)</f>
        <v>398.85549483910142</v>
      </c>
      <c r="AF16" s="13">
        <f t="shared" ref="AF16" si="42">SUM(AF10:AF15)</f>
        <v>402.71098967820279</v>
      </c>
      <c r="AG16" s="13">
        <f t="shared" ref="AG16" si="43">SUM(AG10:AG15)</f>
        <v>406.56648451730416</v>
      </c>
      <c r="AH16" s="13">
        <f t="shared" ref="AH16" si="44">SUM(AH10:AH15)</f>
        <v>410.42197935640559</v>
      </c>
      <c r="AI16" s="13">
        <f t="shared" ref="AI16" si="45">SUM(AI10:AI15)</f>
        <v>414.27747419550701</v>
      </c>
    </row>
    <row r="17" spans="1:35" x14ac:dyDescent="0.3">
      <c r="A17" t="s">
        <v>88</v>
      </c>
      <c r="B17" s="3">
        <f>BS!B46</f>
        <v>0</v>
      </c>
      <c r="C17" s="3">
        <f>BS!C46</f>
        <v>0</v>
      </c>
      <c r="D17" s="3">
        <f>BS!D46</f>
        <v>0</v>
      </c>
      <c r="E17" s="3">
        <f>BS!E46</f>
        <v>0</v>
      </c>
      <c r="F17" s="3">
        <f>BS!F46</f>
        <v>1903</v>
      </c>
      <c r="G17" s="3">
        <f>G37*IS!G$2/365</f>
        <v>0</v>
      </c>
      <c r="H17" s="3">
        <f>H37*IS!H$2/365</f>
        <v>192.43361994608574</v>
      </c>
      <c r="I17" s="3">
        <f>I37*IS!I$2/365</f>
        <v>414.20475122623407</v>
      </c>
      <c r="J17" s="3">
        <f>J37*IS!J$2/365</f>
        <v>672.70568609217923</v>
      </c>
      <c r="K17" s="3">
        <f>K37*IS!K$2/365</f>
        <v>978.37723923686542</v>
      </c>
      <c r="M17" t="s">
        <v>99</v>
      </c>
      <c r="N17" s="13">
        <f t="shared" ref="N17:S18" si="46">N9-N13</f>
        <v>1049</v>
      </c>
      <c r="O17" s="13">
        <f t="shared" si="46"/>
        <v>1068</v>
      </c>
      <c r="P17" s="13">
        <f t="shared" si="46"/>
        <v>1182</v>
      </c>
      <c r="Q17" s="13">
        <f t="shared" si="46"/>
        <v>1514</v>
      </c>
      <c r="R17" s="13">
        <f t="shared" si="46"/>
        <v>1684</v>
      </c>
      <c r="S17" s="13">
        <f t="shared" si="46"/>
        <v>1562.5600803876332</v>
      </c>
      <c r="T17" s="13">
        <f t="shared" ref="T17:W17" si="47">T9-T13</f>
        <v>1427.8118545366872</v>
      </c>
      <c r="U17" s="13">
        <f t="shared" si="47"/>
        <v>1285.4138443086781</v>
      </c>
      <c r="V17" s="13">
        <f t="shared" si="47"/>
        <v>1134.4802575609633</v>
      </c>
      <c r="W17" s="13">
        <f t="shared" si="47"/>
        <v>975.91736840390104</v>
      </c>
    </row>
    <row r="18" spans="1:35" x14ac:dyDescent="0.3">
      <c r="A18" s="22" t="s">
        <v>92</v>
      </c>
      <c r="B18" s="13">
        <f>SUM(B3:B10)-SUM(B12:B17)</f>
        <v>1550</v>
      </c>
      <c r="C18" s="13">
        <f t="shared" ref="C18:K18" si="48">SUM(C3:C10)-SUM(C12:C17)</f>
        <v>3397</v>
      </c>
      <c r="D18" s="13">
        <f t="shared" si="48"/>
        <v>4668</v>
      </c>
      <c r="E18" s="13">
        <f t="shared" si="48"/>
        <v>8001</v>
      </c>
      <c r="F18" s="13">
        <f t="shared" si="48"/>
        <v>-152</v>
      </c>
      <c r="G18" s="13">
        <f t="shared" si="48"/>
        <v>4302.331088658917</v>
      </c>
      <c r="H18" s="13">
        <f t="shared" si="48"/>
        <v>5005.8772288463169</v>
      </c>
      <c r="I18" s="13">
        <f t="shared" si="48"/>
        <v>5352.5715514514195</v>
      </c>
      <c r="J18" s="13">
        <f t="shared" si="48"/>
        <v>5777.5841230146179</v>
      </c>
      <c r="K18" s="13">
        <f t="shared" si="48"/>
        <v>6120.8693478443238</v>
      </c>
      <c r="M18" t="s">
        <v>52</v>
      </c>
      <c r="N18" s="13">
        <f t="shared" si="46"/>
        <v>27930</v>
      </c>
      <c r="O18" s="13">
        <f t="shared" si="46"/>
        <v>27907</v>
      </c>
      <c r="P18" s="13">
        <f t="shared" si="46"/>
        <v>28263</v>
      </c>
      <c r="Q18" s="13">
        <f t="shared" si="46"/>
        <v>28247</v>
      </c>
      <c r="R18" s="13">
        <f t="shared" si="46"/>
        <v>28243</v>
      </c>
      <c r="S18" s="13">
        <f t="shared" si="46"/>
        <v>29424.955249370858</v>
      </c>
      <c r="T18" s="13">
        <f t="shared" ref="T18:W18" si="49">T10-T14</f>
        <v>30581.051886932328</v>
      </c>
      <c r="U18" s="13">
        <f t="shared" si="49"/>
        <v>31773.819261724173</v>
      </c>
      <c r="V18" s="13">
        <f t="shared" si="49"/>
        <v>33005.512946052775</v>
      </c>
      <c r="W18" s="13">
        <f t="shared" si="49"/>
        <v>34280.202289772809</v>
      </c>
      <c r="Y18" t="s">
        <v>122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</row>
    <row r="19" spans="1:35" x14ac:dyDescent="0.3">
      <c r="A19" s="22" t="s">
        <v>93</v>
      </c>
      <c r="C19" s="13">
        <f>C18-B18</f>
        <v>1847</v>
      </c>
      <c r="D19" s="13">
        <f t="shared" ref="D19:K19" si="50">D18-C18</f>
        <v>1271</v>
      </c>
      <c r="E19" s="13">
        <f t="shared" si="50"/>
        <v>3333</v>
      </c>
      <c r="F19" s="13">
        <f t="shared" si="50"/>
        <v>-8153</v>
      </c>
      <c r="G19" s="13">
        <f t="shared" si="50"/>
        <v>4454.331088658917</v>
      </c>
      <c r="H19" s="13">
        <f t="shared" si="50"/>
        <v>703.54614018739994</v>
      </c>
      <c r="I19" s="13">
        <f t="shared" si="50"/>
        <v>346.69432260510257</v>
      </c>
      <c r="J19" s="13">
        <f t="shared" si="50"/>
        <v>425.01257156319843</v>
      </c>
      <c r="K19" s="13">
        <f t="shared" si="50"/>
        <v>343.28522482970584</v>
      </c>
      <c r="M19" s="22" t="s">
        <v>9</v>
      </c>
      <c r="N19" s="13">
        <f>IS!B10</f>
        <v>1074</v>
      </c>
      <c r="O19" s="13">
        <f>IS!C10</f>
        <v>1091</v>
      </c>
      <c r="P19" s="13">
        <f>IS!D10</f>
        <v>1137</v>
      </c>
      <c r="Q19" s="13">
        <f>IS!E10</f>
        <v>1216</v>
      </c>
      <c r="R19" s="13">
        <f>IS!F10</f>
        <v>1355</v>
      </c>
      <c r="S19" s="16">
        <f>S7*S20</f>
        <v>1317.9938052540667</v>
      </c>
      <c r="T19" s="16">
        <f t="shared" ref="T19:W19" si="51">T7*T20</f>
        <v>1376.4159015838322</v>
      </c>
      <c r="U19" s="16">
        <f t="shared" si="51"/>
        <v>1438.5245142416522</v>
      </c>
      <c r="V19" s="16">
        <f t="shared" si="51"/>
        <v>1506.7229580637941</v>
      </c>
      <c r="W19" s="16">
        <f t="shared" si="51"/>
        <v>1572.220771873931</v>
      </c>
      <c r="Y19" t="s">
        <v>123</v>
      </c>
      <c r="AA19" s="18">
        <f>AA14/AA8</f>
        <v>7.6701821668264628E-2</v>
      </c>
      <c r="AB19" s="18">
        <f t="shared" ref="AB19:AD19" si="52">AB14/AB8</f>
        <v>7.4933095450490636E-2</v>
      </c>
      <c r="AC19" s="18">
        <f t="shared" si="52"/>
        <v>7.2059823249490146E-2</v>
      </c>
      <c r="AD19" s="18">
        <f t="shared" si="52"/>
        <v>7.7109896782027926E-2</v>
      </c>
      <c r="AE19" s="5">
        <f>AD19</f>
        <v>7.7109896782027926E-2</v>
      </c>
      <c r="AF19" s="5">
        <f t="shared" ref="AF19:AI19" si="53">AE19</f>
        <v>7.7109896782027926E-2</v>
      </c>
      <c r="AG19" s="5">
        <f t="shared" si="53"/>
        <v>7.7109896782027926E-2</v>
      </c>
      <c r="AH19" s="5">
        <f t="shared" si="53"/>
        <v>7.7109896782027926E-2</v>
      </c>
      <c r="AI19" s="5">
        <f t="shared" si="53"/>
        <v>7.7109896782027926E-2</v>
      </c>
    </row>
    <row r="20" spans="1:35" x14ac:dyDescent="0.3">
      <c r="M20" s="28" t="s">
        <v>104</v>
      </c>
      <c r="N20" s="8">
        <f>N19/N7</f>
        <v>2.861939403629387E-2</v>
      </c>
      <c r="O20" s="8">
        <f t="shared" ref="O20:R20" si="54">O19/O7</f>
        <v>2.8574421832848799E-2</v>
      </c>
      <c r="P20" s="8">
        <f t="shared" si="54"/>
        <v>2.8355528954062546E-2</v>
      </c>
      <c r="Q20" s="8">
        <f t="shared" si="54"/>
        <v>2.9103441673447895E-2</v>
      </c>
      <c r="R20" s="8">
        <f t="shared" si="54"/>
        <v>3.129474802531295E-2</v>
      </c>
      <c r="S20" s="5">
        <f>AVERAGE(N20:R20)</f>
        <v>2.9189506904393214E-2</v>
      </c>
      <c r="T20" s="5">
        <f t="shared" ref="T20:W20" si="55">AVERAGE(O20:S20)</f>
        <v>2.9303529478013079E-2</v>
      </c>
      <c r="U20" s="5">
        <f t="shared" si="55"/>
        <v>2.9449351007045939E-2</v>
      </c>
      <c r="V20" s="5">
        <f t="shared" si="55"/>
        <v>2.9668115417642617E-2</v>
      </c>
      <c r="W20" s="5">
        <f t="shared" si="55"/>
        <v>2.9781050166481561E-2</v>
      </c>
      <c r="Y20" t="s">
        <v>124</v>
      </c>
      <c r="AA20" s="18">
        <f>AA16/(AA8+AA4)</f>
        <v>0.10162991371045062</v>
      </c>
      <c r="AB20" s="18">
        <f t="shared" ref="AB20:AI20" si="56">AB16/(AB8+AB4)</f>
        <v>9.3519278096800662E-2</v>
      </c>
      <c r="AC20" s="18">
        <f t="shared" si="56"/>
        <v>0.22506738544474394</v>
      </c>
      <c r="AD20" s="18">
        <f t="shared" si="56"/>
        <v>0.23968446601941748</v>
      </c>
      <c r="AE20" s="18">
        <f t="shared" si="56"/>
        <v>0.23503564810789712</v>
      </c>
      <c r="AF20" s="18">
        <f t="shared" si="56"/>
        <v>0.23051573536245151</v>
      </c>
      <c r="AG20" s="18">
        <f t="shared" si="56"/>
        <v>0.22624734808976302</v>
      </c>
      <c r="AH20" s="18">
        <f t="shared" si="56"/>
        <v>0.22221005920758288</v>
      </c>
      <c r="AI20" s="18">
        <f t="shared" si="56"/>
        <v>0.21838559525329837</v>
      </c>
    </row>
    <row r="21" spans="1:35" x14ac:dyDescent="0.3">
      <c r="A21" s="24" t="s">
        <v>94</v>
      </c>
      <c r="M21" s="29"/>
      <c r="Y21" t="s">
        <v>125</v>
      </c>
      <c r="Z21">
        <v>0</v>
      </c>
      <c r="AA21" s="13">
        <f>AA4-Z4</f>
        <v>0</v>
      </c>
      <c r="AB21" s="13">
        <f t="shared" ref="AB21:AD21" si="57">AB4-AA4</f>
        <v>98</v>
      </c>
      <c r="AC21" s="13">
        <f t="shared" si="57"/>
        <v>-85</v>
      </c>
      <c r="AD21" s="13">
        <f t="shared" si="57"/>
        <v>-12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">
      <c r="A22" t="s">
        <v>61</v>
      </c>
      <c r="B22" s="25">
        <f>B3/IS!B$2*365</f>
        <v>27.777813217657563</v>
      </c>
      <c r="C22" s="25">
        <f>C3/IS!C$2*365</f>
        <v>28.495406549003164</v>
      </c>
      <c r="D22" s="25">
        <f>D3/IS!D$2*365</f>
        <v>25.612660944206006</v>
      </c>
      <c r="E22" s="25">
        <f>E3/IS!E$2*365</f>
        <v>23.717687734263926</v>
      </c>
      <c r="F22" s="25">
        <f>F3/IS!F$2*365</f>
        <v>25.529934570111376</v>
      </c>
      <c r="G22" s="9">
        <f>AVERAGE(B22:F22)</f>
        <v>26.226700603048407</v>
      </c>
      <c r="H22" s="9">
        <f t="shared" ref="H22:K24" si="58">AVERAGE(C22:G22)</f>
        <v>25.916478080126574</v>
      </c>
      <c r="I22" s="9">
        <f t="shared" si="58"/>
        <v>25.40069238635126</v>
      </c>
      <c r="J22" s="9">
        <f t="shared" si="58"/>
        <v>25.358298674780308</v>
      </c>
      <c r="K22" s="9">
        <f t="shared" si="58"/>
        <v>25.686420862883587</v>
      </c>
      <c r="M22" s="22" t="s">
        <v>105</v>
      </c>
      <c r="O22" s="13">
        <f>O23+O24</f>
        <v>1728</v>
      </c>
      <c r="P22" s="13">
        <f t="shared" ref="P22:S22" si="59">P23+P24</f>
        <v>3008</v>
      </c>
      <c r="Q22" s="13">
        <f t="shared" si="59"/>
        <v>2821</v>
      </c>
      <c r="R22" s="13">
        <f t="shared" si="59"/>
        <v>2732</v>
      </c>
      <c r="S22" s="13">
        <f t="shared" si="59"/>
        <v>1855</v>
      </c>
      <c r="T22" s="13">
        <f t="shared" ref="T22" si="60">T23+T24</f>
        <v>1817.9938052540667</v>
      </c>
      <c r="U22" s="13">
        <f t="shared" ref="U22" si="61">U23+U24</f>
        <v>1876.4159015838322</v>
      </c>
      <c r="V22" s="13">
        <f t="shared" ref="V22" si="62">V23+V24</f>
        <v>1938.5245142416522</v>
      </c>
      <c r="W22" s="13">
        <f t="shared" ref="W22" si="63">W23+W24</f>
        <v>2006.7229580637941</v>
      </c>
      <c r="Y22" t="s">
        <v>126</v>
      </c>
      <c r="AA22" s="13">
        <f>AA8-Z8</f>
        <v>34</v>
      </c>
      <c r="AB22" s="13">
        <f t="shared" ref="AB22:AD22" si="64">AB8-AA8</f>
        <v>78</v>
      </c>
      <c r="AC22" s="13">
        <f t="shared" si="64"/>
        <v>350</v>
      </c>
      <c r="AD22" s="13">
        <f t="shared" si="64"/>
        <v>176</v>
      </c>
      <c r="AE22">
        <v>50</v>
      </c>
      <c r="AF22">
        <v>50</v>
      </c>
      <c r="AG22">
        <v>50</v>
      </c>
      <c r="AH22">
        <v>50</v>
      </c>
      <c r="AI22">
        <v>50</v>
      </c>
    </row>
    <row r="23" spans="1:35" x14ac:dyDescent="0.3">
      <c r="A23" t="s">
        <v>54</v>
      </c>
      <c r="B23" s="25">
        <f>B4/IS!B$2*365</f>
        <v>21.009930254316576</v>
      </c>
      <c r="C23" s="25">
        <f>C4/IS!C$2*365</f>
        <v>24.481283116685091</v>
      </c>
      <c r="D23" s="25">
        <f>D4/IS!D$2*365</f>
        <v>16.936530207989435</v>
      </c>
      <c r="E23" s="25">
        <f>E4/IS!E$2*365</f>
        <v>26.878473568566626</v>
      </c>
      <c r="F23" s="25">
        <f>F4/IS!F$2*365</f>
        <v>21.690324931480806</v>
      </c>
      <c r="G23" s="9">
        <f t="shared" ref="G23:G29" si="65">AVERAGE(B23:F23)</f>
        <v>22.199308415807707</v>
      </c>
      <c r="H23" s="9">
        <f t="shared" si="58"/>
        <v>22.437184048105934</v>
      </c>
      <c r="I23" s="9">
        <f t="shared" si="58"/>
        <v>22.028364234390104</v>
      </c>
      <c r="J23" s="9">
        <f t="shared" si="58"/>
        <v>23.046731039670238</v>
      </c>
      <c r="K23" s="9">
        <f t="shared" si="58"/>
        <v>22.280382533890954</v>
      </c>
      <c r="M23" s="26" t="s">
        <v>106</v>
      </c>
      <c r="N23" s="13"/>
      <c r="O23" s="13">
        <f>N19</f>
        <v>1074</v>
      </c>
      <c r="P23" s="13">
        <f t="shared" ref="P23:W23" si="66">O19</f>
        <v>1091</v>
      </c>
      <c r="Q23" s="13">
        <f t="shared" si="66"/>
        <v>1137</v>
      </c>
      <c r="R23" s="13">
        <f t="shared" si="66"/>
        <v>1216</v>
      </c>
      <c r="S23" s="13">
        <f t="shared" si="66"/>
        <v>1355</v>
      </c>
      <c r="T23" s="13">
        <f t="shared" si="66"/>
        <v>1317.9938052540667</v>
      </c>
      <c r="U23" s="13">
        <f t="shared" si="66"/>
        <v>1376.4159015838322</v>
      </c>
      <c r="V23" s="13">
        <f t="shared" si="66"/>
        <v>1438.5245142416522</v>
      </c>
      <c r="W23" s="13">
        <f t="shared" si="66"/>
        <v>1506.7229580637941</v>
      </c>
    </row>
    <row r="24" spans="1:35" x14ac:dyDescent="0.3">
      <c r="A24" t="s">
        <v>62</v>
      </c>
      <c r="B24" s="25">
        <f>B5/IS!B$2*365</f>
        <v>13.644424598111764</v>
      </c>
      <c r="C24" s="25">
        <f>C5/IS!C$2*365</f>
        <v>15.555597911028096</v>
      </c>
      <c r="D24" s="25">
        <f>D5/IS!D$2*365</f>
        <v>18.551254539451964</v>
      </c>
      <c r="E24" s="25">
        <f>E5/IS!E$2*365</f>
        <v>17.673274525009692</v>
      </c>
      <c r="F24" s="25">
        <f>F5/IS!F$2*365</f>
        <v>22.08353796676225</v>
      </c>
      <c r="G24" s="9">
        <f t="shared" si="65"/>
        <v>17.501617908072753</v>
      </c>
      <c r="H24" s="9">
        <f t="shared" si="58"/>
        <v>18.273056570064949</v>
      </c>
      <c r="I24" s="9">
        <f t="shared" si="58"/>
        <v>18.816548301872324</v>
      </c>
      <c r="J24" s="9">
        <f t="shared" si="58"/>
        <v>18.86960705435639</v>
      </c>
      <c r="K24" s="9">
        <f t="shared" si="58"/>
        <v>19.108873560225735</v>
      </c>
      <c r="M24" s="26" t="s">
        <v>107</v>
      </c>
      <c r="O24" s="13">
        <f>O7-N7</f>
        <v>654</v>
      </c>
      <c r="P24" s="13">
        <f t="shared" ref="P24:R24" si="67">P7-O7</f>
        <v>1917</v>
      </c>
      <c r="Q24" s="13">
        <f t="shared" si="67"/>
        <v>1684</v>
      </c>
      <c r="R24" s="13">
        <f t="shared" si="67"/>
        <v>1516</v>
      </c>
      <c r="S24" s="13">
        <v>500</v>
      </c>
      <c r="T24" s="13">
        <v>500</v>
      </c>
      <c r="U24" s="13">
        <v>500</v>
      </c>
      <c r="V24" s="13">
        <v>500</v>
      </c>
      <c r="W24" s="13">
        <v>500</v>
      </c>
    </row>
    <row r="25" spans="1:35" x14ac:dyDescent="0.3">
      <c r="A25" t="s">
        <v>64</v>
      </c>
      <c r="B25" s="25">
        <f>B6/IS!B$2*365</f>
        <v>20.404546227779196</v>
      </c>
      <c r="C25" s="25">
        <f>C6/IS!C$2*365</f>
        <v>18.776636297792855</v>
      </c>
      <c r="D25" s="25">
        <f>D6/IS!D$2*365</f>
        <v>23.883459887751734</v>
      </c>
      <c r="E25" s="25">
        <f>E6/IS!E$2*365</f>
        <v>39.710320537676104</v>
      </c>
      <c r="F25" s="25">
        <f>F6/IS!F$2*365</f>
        <v>8.5755136959173655</v>
      </c>
      <c r="G25">
        <v>22</v>
      </c>
      <c r="H25">
        <v>23</v>
      </c>
      <c r="I25">
        <v>24</v>
      </c>
      <c r="J25">
        <v>25</v>
      </c>
      <c r="K25">
        <v>26</v>
      </c>
    </row>
    <row r="26" spans="1:35" x14ac:dyDescent="0.3">
      <c r="A26" t="s">
        <v>55</v>
      </c>
      <c r="B26" s="25">
        <f>B7/IS!B$2*365</f>
        <v>0.26388534490091009</v>
      </c>
      <c r="C26" s="25">
        <f>C7/IS!C$2*365</f>
        <v>0.2434910227575954</v>
      </c>
      <c r="D26" s="25">
        <f>D7/IS!D$2*365</f>
        <v>0.21690326840541432</v>
      </c>
      <c r="E26" s="25">
        <f>E7/IS!E$2*365</f>
        <v>0.2240855628796691</v>
      </c>
      <c r="F26" s="25">
        <f>F7/IS!F$2*365</f>
        <v>0.26599705327862361</v>
      </c>
      <c r="G26" s="9">
        <f t="shared" si="65"/>
        <v>0.24287245044444247</v>
      </c>
      <c r="H26" s="9">
        <f t="shared" ref="H26:H29" si="68">AVERAGE(C26:G26)</f>
        <v>0.23866987155314895</v>
      </c>
      <c r="I26" s="9">
        <f t="shared" ref="I26:I29" si="69">AVERAGE(D26:H26)</f>
        <v>0.23770564131225971</v>
      </c>
      <c r="J26" s="9">
        <f t="shared" ref="J26:J29" si="70">AVERAGE(E26:I26)</f>
        <v>0.24186611589362877</v>
      </c>
      <c r="K26" s="9">
        <f t="shared" ref="K26:K29" si="71">AVERAGE(F26:J26)</f>
        <v>0.24542222649642068</v>
      </c>
    </row>
    <row r="27" spans="1:35" x14ac:dyDescent="0.3">
      <c r="A27" t="s">
        <v>65</v>
      </c>
      <c r="B27" s="25">
        <f>B8/IS!B$2*365</f>
        <v>8.9565790592838308</v>
      </c>
      <c r="C27" s="25">
        <f>C8/IS!C$2*365</f>
        <v>7.576049250943468</v>
      </c>
      <c r="D27" s="25">
        <f>D8/IS!D$2*365</f>
        <v>8.3507758336084521</v>
      </c>
      <c r="E27" s="25">
        <f>E8/IS!E$2*365</f>
        <v>8.4032086079875921</v>
      </c>
      <c r="F27" s="25">
        <f>F8/IS!F$2*365</f>
        <v>8.6044264190998234</v>
      </c>
      <c r="G27" s="9">
        <f t="shared" si="65"/>
        <v>8.3782078341846322</v>
      </c>
      <c r="H27" s="9">
        <f t="shared" si="68"/>
        <v>8.2625335891647946</v>
      </c>
      <c r="I27" s="9">
        <f t="shared" si="69"/>
        <v>8.3998304568090596</v>
      </c>
      <c r="J27" s="9">
        <f t="shared" si="70"/>
        <v>8.4096413814491804</v>
      </c>
      <c r="K27" s="9">
        <f t="shared" si="71"/>
        <v>8.4109279361414959</v>
      </c>
    </row>
    <row r="28" spans="1:35" x14ac:dyDescent="0.3">
      <c r="A28" t="s">
        <v>66</v>
      </c>
      <c r="B28" s="25">
        <f>B9/IS!B$2*365</f>
        <v>3.8573828357574209</v>
      </c>
      <c r="C28" s="25">
        <f>C9/IS!C$2*365</f>
        <v>4.7863378187778753</v>
      </c>
      <c r="D28" s="25">
        <f>D9/IS!D$2*365</f>
        <v>4.4886926378342684</v>
      </c>
      <c r="E28" s="25">
        <f>E9/IS!E$2*365</f>
        <v>4.2045527982422124</v>
      </c>
      <c r="F28" s="25">
        <f>F9/IS!F$2*365</f>
        <v>5.5223301278496857</v>
      </c>
      <c r="G28" s="9">
        <f t="shared" si="65"/>
        <v>4.5718592436922929</v>
      </c>
      <c r="H28" s="9">
        <f t="shared" si="68"/>
        <v>4.7147545252792664</v>
      </c>
      <c r="I28" s="9">
        <f t="shared" si="69"/>
        <v>4.7004378665795459</v>
      </c>
      <c r="J28" s="9">
        <f t="shared" si="70"/>
        <v>4.7427869123286008</v>
      </c>
      <c r="K28" s="9">
        <f t="shared" si="71"/>
        <v>4.8504337351458791</v>
      </c>
    </row>
    <row r="29" spans="1:35" x14ac:dyDescent="0.3">
      <c r="A29" t="s">
        <v>67</v>
      </c>
      <c r="B29" s="25">
        <f>B10/IS!B$2*365</f>
        <v>0.13194267245045505</v>
      </c>
      <c r="C29" s="25">
        <f>C10/IS!C$2*365</f>
        <v>9.0439522738535422E-2</v>
      </c>
      <c r="D29" s="25">
        <f>D10/IS!D$2*365</f>
        <v>7.2301089468471441E-2</v>
      </c>
      <c r="E29" s="25">
        <f>E10/IS!E$2*365</f>
        <v>7.0763861962000768E-2</v>
      </c>
      <c r="F29" s="25">
        <f>F10/IS!F$2*365</f>
        <v>0.1329985266393118</v>
      </c>
      <c r="G29" s="9">
        <f t="shared" si="65"/>
        <v>9.9689134651754885E-2</v>
      </c>
      <c r="H29" s="9">
        <f t="shared" si="68"/>
        <v>9.3238427092014867E-2</v>
      </c>
      <c r="I29" s="9">
        <f t="shared" si="69"/>
        <v>9.3798207962710753E-2</v>
      </c>
      <c r="J29" s="9">
        <f t="shared" si="70"/>
        <v>9.8097631661558618E-2</v>
      </c>
      <c r="K29" s="9">
        <f t="shared" si="71"/>
        <v>0.10356438560147019</v>
      </c>
    </row>
    <row r="30" spans="1:35" x14ac:dyDescent="0.3">
      <c r="B30" s="3"/>
      <c r="C30" s="3"/>
      <c r="D30" s="3"/>
      <c r="E30" s="3"/>
      <c r="F30" s="3"/>
    </row>
    <row r="31" spans="1:35" x14ac:dyDescent="0.3">
      <c r="A31" s="24" t="s">
        <v>95</v>
      </c>
      <c r="B31" s="3"/>
      <c r="C31" s="3"/>
      <c r="D31" s="3"/>
      <c r="E31" s="3"/>
      <c r="F31" s="3"/>
    </row>
    <row r="32" spans="1:35" x14ac:dyDescent="0.3">
      <c r="A32" t="s">
        <v>83</v>
      </c>
      <c r="B32" s="25">
        <f>B12/IS!B$2*365</f>
        <v>0.52000935612826404</v>
      </c>
      <c r="C32" s="25">
        <f>C12/IS!C$2*365</f>
        <v>0.41741318187016352</v>
      </c>
      <c r="D32" s="25">
        <f>D12/IS!D$2*365</f>
        <v>0.60250907890392869</v>
      </c>
      <c r="E32" s="25">
        <f>E12/IS!E$2*365</f>
        <v>1.4742471242083492</v>
      </c>
      <c r="F32" s="25">
        <f>F12/IS!F$2*365</f>
        <v>1.520809239397348</v>
      </c>
      <c r="G32" s="9">
        <f>AVERAGE(B32:F32)</f>
        <v>0.90699759610161068</v>
      </c>
      <c r="H32" s="9">
        <f t="shared" ref="H32:K36" si="72">AVERAGE(C32:G32)</f>
        <v>0.98439524409627999</v>
      </c>
      <c r="I32" s="9">
        <f t="shared" si="72"/>
        <v>1.0977916565415033</v>
      </c>
      <c r="J32" s="9">
        <f t="shared" si="72"/>
        <v>1.1968481720690183</v>
      </c>
      <c r="K32" s="9">
        <f t="shared" si="72"/>
        <v>1.141368381641152</v>
      </c>
    </row>
    <row r="33" spans="1:11" x14ac:dyDescent="0.3">
      <c r="A33" t="s">
        <v>84</v>
      </c>
      <c r="B33" s="25">
        <f>B13/IS!B$2*365</f>
        <v>67.795249638513226</v>
      </c>
      <c r="C33" s="25">
        <f>C13/IS!C$2*365</f>
        <v>62.667632371440554</v>
      </c>
      <c r="D33" s="25">
        <f>D13/IS!D$2*365</f>
        <v>57.0817101353582</v>
      </c>
      <c r="E33" s="25">
        <f>E13/IS!E$2*365</f>
        <v>60.36157425358666</v>
      </c>
      <c r="F33" s="25">
        <f>F13/IS!F$2*365</f>
        <v>63.908683322507571</v>
      </c>
      <c r="G33" s="9">
        <f t="shared" ref="G33:G36" si="73">AVERAGE(B33:F33)</f>
        <v>62.362969944281247</v>
      </c>
      <c r="H33" s="9">
        <f t="shared" si="72"/>
        <v>61.276514005434841</v>
      </c>
      <c r="I33" s="9">
        <f t="shared" si="72"/>
        <v>60.998290332233708</v>
      </c>
      <c r="J33" s="9">
        <f t="shared" si="72"/>
        <v>61.781606371608802</v>
      </c>
      <c r="K33" s="9">
        <f t="shared" si="72"/>
        <v>62.065612795213234</v>
      </c>
    </row>
    <row r="34" spans="1:11" x14ac:dyDescent="0.3">
      <c r="A34" t="s">
        <v>85</v>
      </c>
      <c r="B34" s="25">
        <f>B14/IS!B$2*365</f>
        <v>7.2025176490601339</v>
      </c>
      <c r="C34" s="25">
        <f>C14/IS!C$2*365</f>
        <v>6.2542408416879507</v>
      </c>
      <c r="D34" s="25">
        <f>D14/IS!D$2*365</f>
        <v>5.356305711455926</v>
      </c>
      <c r="E34" s="25">
        <f>E14/IS!E$2*365</f>
        <v>5.1008950497608891</v>
      </c>
      <c r="F34" s="25">
        <f>F14/IS!F$2*365</f>
        <v>7.4016571347095255</v>
      </c>
      <c r="G34" s="9">
        <f t="shared" si="73"/>
        <v>6.2631232773348859</v>
      </c>
      <c r="H34" s="9">
        <f t="shared" si="72"/>
        <v>6.0752444029898358</v>
      </c>
      <c r="I34" s="9">
        <f t="shared" si="72"/>
        <v>6.0394451152502118</v>
      </c>
      <c r="J34" s="9">
        <f t="shared" si="72"/>
        <v>6.1760729960090703</v>
      </c>
      <c r="K34" s="9">
        <f t="shared" si="72"/>
        <v>6.3911085852587046</v>
      </c>
    </row>
    <row r="35" spans="1:11" x14ac:dyDescent="0.3">
      <c r="A35" t="s">
        <v>86</v>
      </c>
      <c r="B35" s="25">
        <f>B15/IS!B$2*365</f>
        <v>4.5636642000510337</v>
      </c>
      <c r="C35" s="25">
        <f>C15/IS!C$2*365</f>
        <v>4.6263294323943125</v>
      </c>
      <c r="D35" s="25">
        <f>D15/IS!D$2*365</f>
        <v>4.6031693628260149</v>
      </c>
      <c r="E35" s="25">
        <f>E15/IS!E$2*365</f>
        <v>4.7588697169445524</v>
      </c>
      <c r="F35" s="25">
        <f>F15/IS!F$2*365</f>
        <v>5.5454603063956522</v>
      </c>
      <c r="G35" s="9">
        <f t="shared" si="73"/>
        <v>4.8194986037223133</v>
      </c>
      <c r="H35" s="9">
        <f t="shared" si="72"/>
        <v>4.870665484456568</v>
      </c>
      <c r="I35" s="9">
        <f t="shared" si="72"/>
        <v>4.9195326948690212</v>
      </c>
      <c r="J35" s="9">
        <f t="shared" si="72"/>
        <v>4.982805361277622</v>
      </c>
      <c r="K35" s="9">
        <f t="shared" si="72"/>
        <v>5.0275924901442348</v>
      </c>
    </row>
    <row r="36" spans="1:11" x14ac:dyDescent="0.3">
      <c r="A36" t="s">
        <v>87</v>
      </c>
      <c r="B36" s="25">
        <f>B16/IS!B$2*365</f>
        <v>3.9349961724929829</v>
      </c>
      <c r="C36" s="25">
        <f>C16/IS!C$2*365</f>
        <v>2.407082682117943</v>
      </c>
      <c r="D36" s="25">
        <f>D16/IS!D$2*365</f>
        <v>2.3437603169362826</v>
      </c>
      <c r="E36" s="25">
        <f>E16/IS!E$2*365</f>
        <v>2.0049760889233554</v>
      </c>
      <c r="F36" s="25">
        <f>F16/IS!F$2*365</f>
        <v>3.9032176296319765</v>
      </c>
      <c r="G36" s="9">
        <f t="shared" si="73"/>
        <v>2.9188065780205079</v>
      </c>
      <c r="H36" s="9">
        <f t="shared" si="72"/>
        <v>2.7155686591260131</v>
      </c>
      <c r="I36" s="9">
        <f t="shared" si="72"/>
        <v>2.7772658545276272</v>
      </c>
      <c r="J36" s="9">
        <f t="shared" si="72"/>
        <v>2.8639669620458958</v>
      </c>
      <c r="K36" s="9">
        <f t="shared" si="72"/>
        <v>3.0357651366704039</v>
      </c>
    </row>
    <row r="37" spans="1:11" x14ac:dyDescent="0.3">
      <c r="A37" t="s">
        <v>88</v>
      </c>
      <c r="B37" s="25">
        <f>B17/IS!B$2*365</f>
        <v>0</v>
      </c>
      <c r="C37" s="25">
        <f>C17/IS!C$2*365</f>
        <v>0</v>
      </c>
      <c r="D37" s="25">
        <f>D17/IS!D$2*365</f>
        <v>0</v>
      </c>
      <c r="E37" s="25">
        <f>E17/IS!E$2*365</f>
        <v>0</v>
      </c>
      <c r="F37" s="25">
        <f>F17/IS!F$2*365</f>
        <v>11.004182443243927</v>
      </c>
      <c r="G37">
        <v>0</v>
      </c>
      <c r="H37">
        <v>1</v>
      </c>
      <c r="I37">
        <v>2</v>
      </c>
      <c r="J37">
        <v>3</v>
      </c>
      <c r="K37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1AB0-A67A-3C45-B45A-8286174D6594}">
  <dimension ref="A1:K98"/>
  <sheetViews>
    <sheetView topLeftCell="A80" zoomScale="77" zoomScaleNormal="161" workbookViewId="0">
      <selection activeCell="G1" sqref="G1:K1"/>
    </sheetView>
  </sheetViews>
  <sheetFormatPr defaultColWidth="10.796875" defaultRowHeight="15.6" x14ac:dyDescent="0.3"/>
  <cols>
    <col min="1" max="1" width="49.3984375" customWidth="1"/>
    <col min="2" max="5" width="11.5" bestFit="1" customWidth="1"/>
    <col min="6" max="6" width="14.296875" customWidth="1"/>
    <col min="7" max="7" width="11.69921875" bestFit="1" customWidth="1"/>
    <col min="8" max="10" width="11.5" bestFit="1" customWidth="1"/>
    <col min="11" max="11" width="12.8984375" bestFit="1" customWidth="1"/>
  </cols>
  <sheetData>
    <row r="1" spans="1:11" x14ac:dyDescent="0.3">
      <c r="A1" s="1" t="s">
        <v>0</v>
      </c>
      <c r="B1" s="2">
        <v>2021</v>
      </c>
      <c r="C1" s="2">
        <f>B1+1</f>
        <v>2022</v>
      </c>
      <c r="D1" s="2">
        <f t="shared" ref="D1:F1" si="0">C1+1</f>
        <v>2023</v>
      </c>
      <c r="E1" s="2">
        <f t="shared" si="0"/>
        <v>2024</v>
      </c>
      <c r="F1" s="2">
        <f t="shared" si="0"/>
        <v>2025</v>
      </c>
      <c r="G1" s="30">
        <f>F1+1</f>
        <v>2026</v>
      </c>
      <c r="H1" s="30">
        <f t="shared" ref="H1:K1" si="1">G1+1</f>
        <v>2027</v>
      </c>
      <c r="I1" s="30">
        <f t="shared" si="1"/>
        <v>2028</v>
      </c>
      <c r="J1" s="30">
        <f t="shared" si="1"/>
        <v>2029</v>
      </c>
      <c r="K1" s="30">
        <f t="shared" si="1"/>
        <v>2030</v>
      </c>
    </row>
    <row r="2" spans="1:11" x14ac:dyDescent="0.3">
      <c r="A2" t="s">
        <v>1</v>
      </c>
      <c r="B2" s="3">
        <f>IS!B2</f>
        <v>47028</v>
      </c>
      <c r="C2" s="3">
        <f>IS!C2</f>
        <v>52466</v>
      </c>
      <c r="D2" s="3">
        <f>IS!D2</f>
        <v>60580</v>
      </c>
      <c r="E2" s="3">
        <f>IS!E2</f>
        <v>61896</v>
      </c>
      <c r="F2" s="3">
        <f>IS!F2</f>
        <v>63121</v>
      </c>
      <c r="G2" s="3">
        <f>G25</f>
        <v>65571.007313737413</v>
      </c>
      <c r="H2" s="3">
        <f t="shared" ref="H2:K2" si="2">H25</f>
        <v>70238.271280321293</v>
      </c>
      <c r="I2" s="3">
        <f t="shared" si="2"/>
        <v>75592.367098787712</v>
      </c>
      <c r="J2" s="3">
        <f t="shared" si="2"/>
        <v>81845.85847454847</v>
      </c>
      <c r="K2" s="3">
        <f t="shared" si="2"/>
        <v>89276.923080363966</v>
      </c>
    </row>
    <row r="3" spans="1:11" x14ac:dyDescent="0.3">
      <c r="A3" t="s">
        <v>2</v>
      </c>
      <c r="B3" s="3">
        <f>IS!B3</f>
        <v>410</v>
      </c>
      <c r="C3" s="3">
        <f>IS!C3</f>
        <v>258</v>
      </c>
      <c r="D3" s="3">
        <f>IS!D3</f>
        <v>512</v>
      </c>
      <c r="E3" s="3">
        <f>IS!E3</f>
        <v>811</v>
      </c>
      <c r="F3" s="3">
        <f>IS!F3</f>
        <v>1017</v>
      </c>
      <c r="G3" s="3">
        <f>G27</f>
        <v>1118.7</v>
      </c>
      <c r="H3" s="3">
        <f t="shared" ref="H3:K3" si="3">H27</f>
        <v>1241.7570000000001</v>
      </c>
      <c r="I3" s="3">
        <f t="shared" si="3"/>
        <v>1390.7678400000002</v>
      </c>
      <c r="J3" s="3">
        <f t="shared" si="3"/>
        <v>1571.5676592</v>
      </c>
      <c r="K3" s="3">
        <f t="shared" si="3"/>
        <v>1791.5871314880001</v>
      </c>
    </row>
    <row r="4" spans="1:11" x14ac:dyDescent="0.3">
      <c r="A4" t="s">
        <v>4</v>
      </c>
      <c r="B4" s="3">
        <f>IS!B5</f>
        <v>15432</v>
      </c>
      <c r="C4" s="3">
        <f>IS!C5</f>
        <v>16446</v>
      </c>
      <c r="D4" s="3">
        <f>IS!D5</f>
        <v>20212</v>
      </c>
      <c r="E4" s="3">
        <f>IS!E5</f>
        <v>19257</v>
      </c>
      <c r="F4" s="3">
        <f>IS!F5</f>
        <v>19458</v>
      </c>
      <c r="G4" s="3">
        <f>G31</f>
        <v>20912.302687618532</v>
      </c>
      <c r="H4" s="3">
        <f t="shared" ref="H4:K4" si="4">H31</f>
        <v>22271.31113496919</v>
      </c>
      <c r="I4" s="3">
        <f t="shared" si="4"/>
        <v>24023.761167607754</v>
      </c>
      <c r="J4" s="3">
        <f t="shared" si="4"/>
        <v>25751.960754701198</v>
      </c>
      <c r="K4" s="3">
        <f t="shared" si="4"/>
        <v>28152.939742314047</v>
      </c>
    </row>
    <row r="5" spans="1:11" x14ac:dyDescent="0.3">
      <c r="A5" t="s">
        <v>5</v>
      </c>
      <c r="B5" s="3">
        <f>IS!B6</f>
        <v>7121</v>
      </c>
      <c r="C5" s="3">
        <f>IS!C6</f>
        <v>9311</v>
      </c>
      <c r="D5" s="3">
        <f>IS!D6</f>
        <v>11579</v>
      </c>
      <c r="E5" s="3">
        <f>IS!E6</f>
        <v>10514</v>
      </c>
      <c r="F5" s="3">
        <f>IS!F6</f>
        <v>11272</v>
      </c>
      <c r="G5" s="3">
        <f>G34</f>
        <v>11389.246799465216</v>
      </c>
      <c r="H5" s="3">
        <f t="shared" ref="H5:K5" si="5">H34</f>
        <v>12512.801466494097</v>
      </c>
      <c r="I5" s="3">
        <f t="shared" si="5"/>
        <v>13476.912115541842</v>
      </c>
      <c r="J5" s="3">
        <f t="shared" si="5"/>
        <v>14381.438838934049</v>
      </c>
      <c r="K5" s="3">
        <f t="shared" si="5"/>
        <v>15791.599177189435</v>
      </c>
    </row>
    <row r="6" spans="1:11" x14ac:dyDescent="0.3">
      <c r="A6" t="s">
        <v>6</v>
      </c>
      <c r="B6" s="3">
        <f>IS!B7</f>
        <v>-405</v>
      </c>
      <c r="C6" s="3">
        <f>IS!C7</f>
        <v>-22</v>
      </c>
      <c r="D6" s="3">
        <f>IS!D7</f>
        <v>-75</v>
      </c>
      <c r="E6" s="3">
        <f>IS!E7</f>
        <v>-11</v>
      </c>
      <c r="F6" s="3">
        <f>IS!F7</f>
        <v>-153</v>
      </c>
      <c r="G6" s="3">
        <f>0</f>
        <v>0</v>
      </c>
      <c r="H6" s="3">
        <f>0</f>
        <v>0</v>
      </c>
      <c r="I6" s="3">
        <f>0</f>
        <v>0</v>
      </c>
      <c r="J6" s="3">
        <f>0</f>
        <v>0</v>
      </c>
      <c r="K6" s="3">
        <f>0</f>
        <v>0</v>
      </c>
    </row>
    <row r="7" spans="1:11" x14ac:dyDescent="0.3">
      <c r="A7" t="s">
        <v>7</v>
      </c>
      <c r="B7" s="3">
        <f>IS!B8</f>
        <v>2358</v>
      </c>
      <c r="C7" s="3">
        <f>IS!C8</f>
        <v>2545</v>
      </c>
      <c r="D7" s="3">
        <f>IS!D8</f>
        <v>2854</v>
      </c>
      <c r="E7" s="3">
        <f>IS!E8</f>
        <v>3009</v>
      </c>
      <c r="F7" s="3">
        <f>IS!F8</f>
        <v>3077</v>
      </c>
      <c r="G7" s="3">
        <f>G37</f>
        <v>3457.3172000000004</v>
      </c>
      <c r="H7" s="3">
        <f t="shared" ref="H7:K7" si="6">H37</f>
        <v>3939.7858152600006</v>
      </c>
      <c r="I7" s="3">
        <f t="shared" si="6"/>
        <v>4552.8164881144576</v>
      </c>
      <c r="J7" s="3">
        <f t="shared" si="6"/>
        <v>5334.7627199481158</v>
      </c>
      <c r="K7" s="3">
        <f t="shared" si="6"/>
        <v>6337.6981112983631</v>
      </c>
    </row>
    <row r="8" spans="1:11" x14ac:dyDescent="0.3">
      <c r="A8" t="s">
        <v>10</v>
      </c>
      <c r="B8" s="3">
        <f>IS!B11</f>
        <v>10896</v>
      </c>
      <c r="C8" s="3">
        <f>IS!C11</f>
        <v>11309</v>
      </c>
      <c r="D8" s="3">
        <f>IS!D11</f>
        <v>11861</v>
      </c>
      <c r="E8" s="3">
        <f>IS!E11</f>
        <v>14464</v>
      </c>
      <c r="F8" s="3">
        <f>IS!F11</f>
        <v>14615</v>
      </c>
      <c r="G8" s="3">
        <f>G43</f>
        <v>14440.37240506331</v>
      </c>
      <c r="H8" s="3">
        <f t="shared" ref="H8:K8" si="7">H43</f>
        <v>15307.138793772177</v>
      </c>
      <c r="I8" s="3">
        <f t="shared" si="7"/>
        <v>16509.984946165445</v>
      </c>
      <c r="J8" s="3">
        <f t="shared" si="7"/>
        <v>18245.756078350441</v>
      </c>
      <c r="K8" s="3">
        <f t="shared" si="7"/>
        <v>19710.333146283258</v>
      </c>
    </row>
    <row r="9" spans="1:11" x14ac:dyDescent="0.3">
      <c r="A9" t="s">
        <v>13</v>
      </c>
      <c r="B9" s="3">
        <f>IS!B14</f>
        <v>0</v>
      </c>
      <c r="C9" s="3">
        <f>IS!C14</f>
        <v>0</v>
      </c>
      <c r="D9" s="3">
        <f>IS!D14</f>
        <v>-1</v>
      </c>
      <c r="E9" s="3">
        <f>IS!E14</f>
        <v>-4</v>
      </c>
      <c r="F9" s="3">
        <f>IS!F14</f>
        <v>-8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1" x14ac:dyDescent="0.3">
      <c r="A10" t="s">
        <v>15</v>
      </c>
      <c r="B10" s="3">
        <f>IS!B16</f>
        <v>-239</v>
      </c>
      <c r="C10" s="3">
        <f>IS!C16</f>
        <v>-44</v>
      </c>
      <c r="D10" s="3">
        <f>IS!D16</f>
        <v>-64</v>
      </c>
      <c r="E10" s="3">
        <f>IS!E16</f>
        <v>6</v>
      </c>
      <c r="F10" s="3">
        <f>IS!F16</f>
        <v>305</v>
      </c>
      <c r="G10" s="3">
        <f>F10</f>
        <v>305</v>
      </c>
      <c r="H10" s="3">
        <f t="shared" ref="H10:K10" si="8">G10</f>
        <v>305</v>
      </c>
      <c r="I10" s="3">
        <f t="shared" si="8"/>
        <v>305</v>
      </c>
      <c r="J10" s="3">
        <f t="shared" si="8"/>
        <v>305</v>
      </c>
      <c r="K10" s="3">
        <f t="shared" si="8"/>
        <v>305</v>
      </c>
    </row>
    <row r="11" spans="1:11" x14ac:dyDescent="0.3">
      <c r="A11" t="s">
        <v>22</v>
      </c>
      <c r="B11" s="3">
        <f>B12+B13</f>
        <v>-2606</v>
      </c>
      <c r="C11" s="3">
        <f t="shared" ref="C11:F11" si="9">C12+C13</f>
        <v>-2987</v>
      </c>
      <c r="D11" s="3">
        <f t="shared" si="9"/>
        <v>-3201</v>
      </c>
      <c r="E11" s="3">
        <f t="shared" si="9"/>
        <v>-3644</v>
      </c>
      <c r="F11" s="3">
        <f t="shared" si="9"/>
        <v>-3744</v>
      </c>
      <c r="G11" s="3">
        <f>G66</f>
        <v>-3769.6547303742955</v>
      </c>
      <c r="H11" s="3">
        <f t="shared" ref="H11:K11" si="10">H66</f>
        <v>-3993.7160446409471</v>
      </c>
      <c r="I11" s="3">
        <f t="shared" si="10"/>
        <v>-4219.8923056498152</v>
      </c>
      <c r="J11" s="3">
        <f t="shared" si="10"/>
        <v>-4522.8407010986157</v>
      </c>
      <c r="K11" s="3">
        <f t="shared" si="10"/>
        <v>-4848.6104471743602</v>
      </c>
    </row>
    <row r="12" spans="1:11" x14ac:dyDescent="0.3">
      <c r="A12" t="s">
        <v>17</v>
      </c>
      <c r="B12" s="3">
        <f>IS!B18</f>
        <v>-2520</v>
      </c>
      <c r="C12" s="3">
        <f>IS!C18</f>
        <v>-2840</v>
      </c>
      <c r="D12" s="3">
        <f>IS!D18</f>
        <v>-3001</v>
      </c>
      <c r="E12" s="3">
        <f>IS!E18</f>
        <v>-3521</v>
      </c>
      <c r="F12" s="3">
        <f>IS!F18</f>
        <v>-3620</v>
      </c>
      <c r="G12" s="3">
        <f>G68</f>
        <v>-3644.8050544751468</v>
      </c>
      <c r="H12" s="3">
        <f t="shared" ref="H12:K12" si="11">H68</f>
        <v>-3861.4455346154455</v>
      </c>
      <c r="I12" s="3">
        <f t="shared" si="11"/>
        <v>-4080.1309151849173</v>
      </c>
      <c r="J12" s="3">
        <f t="shared" si="11"/>
        <v>-4373.0457633485548</v>
      </c>
      <c r="K12" s="3">
        <f t="shared" si="11"/>
        <v>-4688.0261268085424</v>
      </c>
    </row>
    <row r="13" spans="1:11" x14ac:dyDescent="0.3">
      <c r="A13" t="s">
        <v>18</v>
      </c>
      <c r="B13" s="3">
        <f>IS!B19</f>
        <v>-86</v>
      </c>
      <c r="C13" s="3">
        <f>IS!C19</f>
        <v>-147</v>
      </c>
      <c r="D13" s="3">
        <f>IS!D19</f>
        <v>-200</v>
      </c>
      <c r="E13" s="3">
        <f>IS!E19</f>
        <v>-123</v>
      </c>
      <c r="F13" s="3">
        <f>IS!F19</f>
        <v>-124</v>
      </c>
      <c r="G13" s="3">
        <f>G70</f>
        <v>-124.84967589914865</v>
      </c>
      <c r="H13" s="3">
        <f t="shared" ref="H13:K13" si="12">H70</f>
        <v>-132.27051002550144</v>
      </c>
      <c r="I13" s="3">
        <f t="shared" si="12"/>
        <v>-139.76139046489769</v>
      </c>
      <c r="J13" s="3">
        <f t="shared" si="12"/>
        <v>-149.79493775006097</v>
      </c>
      <c r="K13" s="3">
        <f t="shared" si="12"/>
        <v>-160.58432036581746</v>
      </c>
    </row>
    <row r="16" spans="1:11" hidden="1" x14ac:dyDescent="0.3">
      <c r="A16" s="1" t="s">
        <v>23</v>
      </c>
      <c r="B16" s="2">
        <v>2021</v>
      </c>
      <c r="C16" s="2">
        <f>B16+1</f>
        <v>2022</v>
      </c>
      <c r="D16" s="2">
        <f t="shared" ref="D16" si="13">C16+1</f>
        <v>2023</v>
      </c>
      <c r="E16" s="2">
        <f t="shared" ref="E16" si="14">D16+1</f>
        <v>2024</v>
      </c>
      <c r="F16" s="2">
        <f t="shared" ref="F16" si="15">E16+1</f>
        <v>2025</v>
      </c>
      <c r="G16" s="2">
        <f>F16+1</f>
        <v>2026</v>
      </c>
      <c r="H16" s="2">
        <f t="shared" ref="H16:K16" si="16">G16+1</f>
        <v>2027</v>
      </c>
      <c r="I16" s="2">
        <f t="shared" si="16"/>
        <v>2028</v>
      </c>
      <c r="J16" s="2">
        <f t="shared" si="16"/>
        <v>2029</v>
      </c>
      <c r="K16" s="2">
        <f t="shared" si="16"/>
        <v>2030</v>
      </c>
    </row>
    <row r="17" spans="1:11" hidden="1" x14ac:dyDescent="0.3">
      <c r="A17" s="6" t="s">
        <v>24</v>
      </c>
      <c r="B17" s="3">
        <v>13957</v>
      </c>
      <c r="C17" s="3">
        <v>16570</v>
      </c>
      <c r="D17" s="3">
        <v>21223</v>
      </c>
      <c r="E17" s="3">
        <v>21882</v>
      </c>
      <c r="F17" s="3">
        <v>22972</v>
      </c>
      <c r="G17" s="3">
        <f>F17*(1+G18)</f>
        <v>25269.200000000001</v>
      </c>
      <c r="H17" s="3">
        <f t="shared" ref="H17:K17" si="17">G17*(1+H18)</f>
        <v>27922.466</v>
      </c>
      <c r="I17" s="3">
        <f t="shared" si="17"/>
        <v>30993.937260000002</v>
      </c>
      <c r="J17" s="3">
        <f t="shared" si="17"/>
        <v>34558.240044900005</v>
      </c>
      <c r="K17" s="3">
        <f t="shared" si="17"/>
        <v>38705.228850288011</v>
      </c>
    </row>
    <row r="18" spans="1:11" hidden="1" x14ac:dyDescent="0.3">
      <c r="A18" s="7" t="s">
        <v>25</v>
      </c>
      <c r="B18" s="8"/>
      <c r="C18" s="8">
        <f>C17/B17-1</f>
        <v>0.18721788349931945</v>
      </c>
      <c r="D18" s="8">
        <f t="shared" ref="D18:F18" si="18">D17/C17-1</f>
        <v>0.2808086904043452</v>
      </c>
      <c r="E18" s="8">
        <f t="shared" si="18"/>
        <v>3.1051218018187887E-2</v>
      </c>
      <c r="F18" s="8">
        <f t="shared" si="18"/>
        <v>4.9812631386527695E-2</v>
      </c>
      <c r="G18" s="10">
        <v>0.1</v>
      </c>
      <c r="H18" s="10">
        <f>G18+0.5%</f>
        <v>0.10500000000000001</v>
      </c>
      <c r="I18" s="10">
        <f t="shared" ref="I18:K18" si="19">H18+0.5%</f>
        <v>0.11000000000000001</v>
      </c>
      <c r="J18" s="10">
        <f t="shared" si="19"/>
        <v>0.11500000000000002</v>
      </c>
      <c r="K18" s="10">
        <f t="shared" si="19"/>
        <v>0.12000000000000002</v>
      </c>
    </row>
    <row r="19" spans="1:11" hidden="1" x14ac:dyDescent="0.3">
      <c r="A19" s="6" t="s">
        <v>26</v>
      </c>
      <c r="B19">
        <v>18038</v>
      </c>
      <c r="C19">
        <v>19567</v>
      </c>
      <c r="D19">
        <v>22022</v>
      </c>
      <c r="E19">
        <v>22448</v>
      </c>
      <c r="F19">
        <v>22241</v>
      </c>
      <c r="G19" s="3">
        <f>F19*(1+G20)</f>
        <v>23353.05</v>
      </c>
      <c r="H19" s="3">
        <f t="shared" ref="H19:K19" si="20">G19*(1+H20)</f>
        <v>24754.233</v>
      </c>
      <c r="I19" s="3">
        <f t="shared" si="20"/>
        <v>26487.029310000002</v>
      </c>
      <c r="J19" s="3">
        <f t="shared" si="20"/>
        <v>28605.991654800004</v>
      </c>
      <c r="K19" s="3">
        <f t="shared" si="20"/>
        <v>31180.530903732008</v>
      </c>
    </row>
    <row r="20" spans="1:11" hidden="1" x14ac:dyDescent="0.3">
      <c r="A20" s="7" t="s">
        <v>25</v>
      </c>
      <c r="B20" s="8"/>
      <c r="C20" s="8">
        <f>C19/B19-1</f>
        <v>8.4765495065971752E-2</v>
      </c>
      <c r="D20" s="8">
        <f t="shared" ref="D20" si="21">D19/C19-1</f>
        <v>0.12546634639955023</v>
      </c>
      <c r="E20" s="8">
        <f t="shared" ref="E20" si="22">E19/D19-1</f>
        <v>1.9344292071564739E-2</v>
      </c>
      <c r="F20" s="8">
        <f t="shared" ref="F20" si="23">F19/E19-1</f>
        <v>-9.2213114754098324E-3</v>
      </c>
      <c r="G20" s="5">
        <v>0.05</v>
      </c>
      <c r="H20" s="12">
        <f>G20+1%</f>
        <v>6.0000000000000005E-2</v>
      </c>
      <c r="I20" s="12">
        <f t="shared" ref="I20:K20" si="24">H20+1%</f>
        <v>7.0000000000000007E-2</v>
      </c>
      <c r="J20" s="12">
        <f t="shared" si="24"/>
        <v>0.08</v>
      </c>
      <c r="K20" s="12">
        <f t="shared" si="24"/>
        <v>0.09</v>
      </c>
    </row>
    <row r="21" spans="1:11" hidden="1" x14ac:dyDescent="0.3">
      <c r="A21" s="6" t="s">
        <v>27</v>
      </c>
      <c r="B21">
        <v>13204</v>
      </c>
      <c r="C21">
        <v>14105</v>
      </c>
      <c r="D21">
        <v>14876</v>
      </c>
      <c r="E21">
        <v>15291</v>
      </c>
      <c r="F21">
        <v>15294</v>
      </c>
      <c r="G21" s="3">
        <f>F21*(1+G22)</f>
        <v>15871.317313737407</v>
      </c>
      <c r="H21" s="3">
        <f t="shared" ref="H21:K21" si="25">G21*(1+H22)</f>
        <v>16349.452280321289</v>
      </c>
      <c r="I21" s="3">
        <f t="shared" si="25"/>
        <v>16741.704928787705</v>
      </c>
      <c r="J21" s="3">
        <f t="shared" si="25"/>
        <v>17127.022268848457</v>
      </c>
      <c r="K21" s="3">
        <f t="shared" si="25"/>
        <v>17618.914189503947</v>
      </c>
    </row>
    <row r="22" spans="1:11" hidden="1" x14ac:dyDescent="0.3">
      <c r="A22" s="7" t="s">
        <v>25</v>
      </c>
      <c r="B22" s="8"/>
      <c r="C22" s="8">
        <f>C21/B21-1</f>
        <v>6.8236897909724314E-2</v>
      </c>
      <c r="D22" s="8">
        <f t="shared" ref="D22:F22" si="26">D21/C21-1</f>
        <v>5.4661467564693478E-2</v>
      </c>
      <c r="E22" s="8">
        <f t="shared" si="26"/>
        <v>2.789728421618709E-2</v>
      </c>
      <c r="F22" s="8">
        <f t="shared" si="26"/>
        <v>1.961938395134144E-4</v>
      </c>
      <c r="G22" s="10">
        <f>AVERAGE(C22:F22)</f>
        <v>3.7747960882529574E-2</v>
      </c>
      <c r="H22" s="10">
        <f t="shared" ref="H22:K22" si="27">AVERAGE(D22:G22)</f>
        <v>3.0125726625730889E-2</v>
      </c>
      <c r="I22" s="10">
        <f t="shared" si="27"/>
        <v>2.3991791390990242E-2</v>
      </c>
      <c r="J22" s="10">
        <f t="shared" si="27"/>
        <v>2.3015418184691029E-2</v>
      </c>
      <c r="K22" s="10">
        <f t="shared" si="27"/>
        <v>2.8720224270985431E-2</v>
      </c>
    </row>
    <row r="23" spans="1:11" hidden="1" x14ac:dyDescent="0.3">
      <c r="A23" s="6" t="s">
        <v>28</v>
      </c>
      <c r="B23">
        <v>1829</v>
      </c>
      <c r="C23">
        <v>2204</v>
      </c>
      <c r="D23">
        <v>2459</v>
      </c>
      <c r="E23">
        <v>2275</v>
      </c>
      <c r="F23">
        <v>962</v>
      </c>
      <c r="G23" s="3">
        <f>F23*(1+G24)</f>
        <v>1077.44</v>
      </c>
      <c r="H23" s="3">
        <f t="shared" ref="H23" si="28">G23*(1+H24)</f>
        <v>1212.1200000000001</v>
      </c>
      <c r="I23" s="3">
        <f t="shared" ref="I23" si="29">H23*(1+I24)</f>
        <v>1369.6956</v>
      </c>
      <c r="J23" s="3">
        <f t="shared" ref="J23" si="30">I23*(1+J24)</f>
        <v>1554.6045060000001</v>
      </c>
      <c r="K23" s="3">
        <f t="shared" ref="K23" si="31">J23*(1+K24)</f>
        <v>1772.2491368400003</v>
      </c>
    </row>
    <row r="24" spans="1:11" hidden="1" x14ac:dyDescent="0.3">
      <c r="A24" s="7" t="s">
        <v>25</v>
      </c>
      <c r="B24" s="8"/>
      <c r="C24" s="8">
        <f>C23/B23-1</f>
        <v>0.20503007107709137</v>
      </c>
      <c r="D24" s="8">
        <f t="shared" ref="D24" si="32">D23/C23-1</f>
        <v>0.1156987295825771</v>
      </c>
      <c r="E24" s="8">
        <f t="shared" ref="E24" si="33">E23/D23-1</f>
        <v>-7.48271655144368E-2</v>
      </c>
      <c r="F24" s="8">
        <f t="shared" ref="F24" si="34">F23/E23-1</f>
        <v>-0.57714285714285718</v>
      </c>
      <c r="G24" s="5">
        <v>0.12</v>
      </c>
      <c r="H24" s="11">
        <f>G24+0.5%</f>
        <v>0.125</v>
      </c>
      <c r="I24" s="11">
        <f t="shared" ref="I24:K24" si="35">H24+0.5%</f>
        <v>0.13</v>
      </c>
      <c r="J24" s="11">
        <f t="shared" si="35"/>
        <v>0.13500000000000001</v>
      </c>
      <c r="K24" s="11">
        <f t="shared" si="35"/>
        <v>0.14000000000000001</v>
      </c>
    </row>
    <row r="25" spans="1:11" hidden="1" x14ac:dyDescent="0.3">
      <c r="A25" s="6" t="s">
        <v>29</v>
      </c>
      <c r="B25" s="9">
        <f>B17+B19+B21+B23</f>
        <v>47028</v>
      </c>
      <c r="C25" s="9">
        <f t="shared" ref="C25:K25" si="36">C17+C19+C21+C23</f>
        <v>52446</v>
      </c>
      <c r="D25" s="9">
        <f t="shared" si="36"/>
        <v>60580</v>
      </c>
      <c r="E25" s="9">
        <f t="shared" si="36"/>
        <v>61896</v>
      </c>
      <c r="F25" s="9">
        <f t="shared" si="36"/>
        <v>61469</v>
      </c>
      <c r="G25" s="9">
        <f t="shared" si="36"/>
        <v>65571.007313737413</v>
      </c>
      <c r="H25" s="9">
        <f t="shared" si="36"/>
        <v>70238.271280321293</v>
      </c>
      <c r="I25" s="9">
        <f t="shared" si="36"/>
        <v>75592.367098787712</v>
      </c>
      <c r="J25" s="9">
        <f t="shared" si="36"/>
        <v>81845.85847454847</v>
      </c>
      <c r="K25" s="9">
        <f t="shared" si="36"/>
        <v>89276.923080363966</v>
      </c>
    </row>
    <row r="26" spans="1:11" hidden="1" x14ac:dyDescent="0.3">
      <c r="A26" s="7" t="s">
        <v>25</v>
      </c>
      <c r="C26" s="8">
        <f>C25/B25-1</f>
        <v>0.11520796121459553</v>
      </c>
      <c r="D26" s="8">
        <f t="shared" ref="D26" si="37">D25/C25-1</f>
        <v>0.15509285741524614</v>
      </c>
      <c r="E26" s="8">
        <f t="shared" ref="E26" si="38">E25/D25-1</f>
        <v>2.1723341036645749E-2</v>
      </c>
      <c r="F26" s="8">
        <f t="shared" ref="F26" si="39">F25/E25-1</f>
        <v>-6.898668734651725E-3</v>
      </c>
      <c r="G26" s="8">
        <f>G25/F25-1</f>
        <v>6.6732943658387445E-2</v>
      </c>
      <c r="H26" s="8">
        <f t="shared" ref="H26:K26" si="40">H25/G25-1</f>
        <v>7.1178774854752991E-2</v>
      </c>
      <c r="I26" s="8">
        <f t="shared" si="40"/>
        <v>7.6227613818941942E-2</v>
      </c>
      <c r="J26" s="8">
        <f t="shared" si="40"/>
        <v>8.2726492313548006E-2</v>
      </c>
      <c r="K26" s="8">
        <f t="shared" si="40"/>
        <v>9.0793410250884277E-2</v>
      </c>
    </row>
    <row r="27" spans="1:11" hidden="1" x14ac:dyDescent="0.3">
      <c r="A27" t="s">
        <v>2</v>
      </c>
      <c r="B27" s="13">
        <f>B3</f>
        <v>410</v>
      </c>
      <c r="C27" s="13">
        <f t="shared" ref="C27:F27" si="41">C3</f>
        <v>258</v>
      </c>
      <c r="D27" s="13">
        <f t="shared" si="41"/>
        <v>512</v>
      </c>
      <c r="E27" s="13">
        <f t="shared" si="41"/>
        <v>811</v>
      </c>
      <c r="F27" s="13">
        <f t="shared" si="41"/>
        <v>1017</v>
      </c>
      <c r="G27" s="3">
        <f>F27*(1+G28)</f>
        <v>1118.7</v>
      </c>
      <c r="H27" s="3">
        <f t="shared" ref="H27:K27" si="42">G27*(1+H28)</f>
        <v>1241.7570000000001</v>
      </c>
      <c r="I27" s="3">
        <f t="shared" si="42"/>
        <v>1390.7678400000002</v>
      </c>
      <c r="J27" s="3">
        <f t="shared" si="42"/>
        <v>1571.5676592</v>
      </c>
      <c r="K27" s="3">
        <f t="shared" si="42"/>
        <v>1791.5871314880001</v>
      </c>
    </row>
    <row r="28" spans="1:11" hidden="1" x14ac:dyDescent="0.3">
      <c r="C28" s="8">
        <f>C27/B27-1</f>
        <v>-0.37073170731707317</v>
      </c>
      <c r="D28" s="8">
        <f t="shared" ref="D28" si="43">D27/C27-1</f>
        <v>0.98449612403100772</v>
      </c>
      <c r="E28" s="8">
        <f t="shared" ref="E28" si="44">E27/D27-1</f>
        <v>0.583984375</v>
      </c>
      <c r="F28" s="8">
        <f t="shared" ref="F28" si="45">F27/E27-1</f>
        <v>0.25400739827373608</v>
      </c>
      <c r="G28" s="8">
        <f>10%</f>
        <v>0.1</v>
      </c>
      <c r="H28" s="12">
        <f>G28+1%</f>
        <v>0.11</v>
      </c>
      <c r="I28" s="12">
        <f t="shared" ref="I28:K28" si="46">H28+1%</f>
        <v>0.12</v>
      </c>
      <c r="J28" s="12">
        <f t="shared" si="46"/>
        <v>0.13</v>
      </c>
      <c r="K28" s="12">
        <f t="shared" si="46"/>
        <v>0.14000000000000001</v>
      </c>
    </row>
    <row r="30" spans="1:11" hidden="1" x14ac:dyDescent="0.3">
      <c r="A30" s="1" t="s">
        <v>30</v>
      </c>
      <c r="B30" s="2">
        <v>2021</v>
      </c>
      <c r="C30" s="2">
        <f>B30+1</f>
        <v>2022</v>
      </c>
      <c r="D30" s="2">
        <f t="shared" ref="D30" si="47">C30+1</f>
        <v>2023</v>
      </c>
      <c r="E30" s="2">
        <f t="shared" ref="E30" si="48">D30+1</f>
        <v>2024</v>
      </c>
      <c r="F30" s="2">
        <f t="shared" ref="F30" si="49">E30+1</f>
        <v>2025</v>
      </c>
      <c r="G30" s="2">
        <f>F30+1</f>
        <v>2026</v>
      </c>
      <c r="H30" s="2">
        <f t="shared" ref="H30:K30" si="50">G30+1</f>
        <v>2027</v>
      </c>
      <c r="I30" s="2">
        <f t="shared" si="50"/>
        <v>2028</v>
      </c>
      <c r="J30" s="2">
        <f t="shared" si="50"/>
        <v>2029</v>
      </c>
      <c r="K30" s="2">
        <f t="shared" si="50"/>
        <v>2030</v>
      </c>
    </row>
    <row r="31" spans="1:11" hidden="1" x14ac:dyDescent="0.3">
      <c r="A31" s="14" t="s">
        <v>4</v>
      </c>
      <c r="B31" s="13">
        <f>B4</f>
        <v>15432</v>
      </c>
      <c r="C31" s="13">
        <f t="shared" ref="C31:E31" si="51">C4</f>
        <v>16446</v>
      </c>
      <c r="D31" s="13">
        <f t="shared" si="51"/>
        <v>20212</v>
      </c>
      <c r="E31" s="13">
        <f t="shared" si="51"/>
        <v>19257</v>
      </c>
      <c r="F31" s="13">
        <f>F4</f>
        <v>19458</v>
      </c>
      <c r="G31" s="13">
        <f>G32*G$2</f>
        <v>20912.302687618532</v>
      </c>
      <c r="H31" s="13">
        <f t="shared" ref="H31:K31" si="52">H32*H$2</f>
        <v>22271.31113496919</v>
      </c>
      <c r="I31" s="13">
        <f t="shared" si="52"/>
        <v>24023.761167607754</v>
      </c>
      <c r="J31" s="13">
        <f t="shared" si="52"/>
        <v>25751.960754701198</v>
      </c>
      <c r="K31" s="13">
        <f t="shared" si="52"/>
        <v>28152.939742314047</v>
      </c>
    </row>
    <row r="32" spans="1:11" hidden="1" x14ac:dyDescent="0.3">
      <c r="A32" s="15" t="s">
        <v>31</v>
      </c>
      <c r="B32" s="12">
        <f>B31/B$2</f>
        <v>0.32814493493238073</v>
      </c>
      <c r="C32" s="12">
        <f t="shared" ref="C32:F32" si="53">C31/C$2</f>
        <v>0.31346014561811458</v>
      </c>
      <c r="D32" s="12">
        <f t="shared" si="53"/>
        <v>0.33364146583030702</v>
      </c>
      <c r="E32" s="12">
        <f t="shared" si="53"/>
        <v>0.31111865063978283</v>
      </c>
      <c r="F32" s="12">
        <f t="shared" si="53"/>
        <v>0.308265078183172</v>
      </c>
      <c r="G32" s="12">
        <f>AVERAGE(B32:F32)</f>
        <v>0.31892605504075144</v>
      </c>
      <c r="H32" s="12">
        <f t="shared" ref="H32:K32" si="54">AVERAGE(C32:G32)</f>
        <v>0.31708227906242559</v>
      </c>
      <c r="I32" s="12">
        <f t="shared" si="54"/>
        <v>0.31780670575128778</v>
      </c>
      <c r="J32" s="12">
        <f t="shared" si="54"/>
        <v>0.31463975373548392</v>
      </c>
      <c r="K32" s="12">
        <f t="shared" si="54"/>
        <v>0.31534397435462413</v>
      </c>
    </row>
    <row r="33" spans="1:11" hidden="1" x14ac:dyDescent="0.3">
      <c r="A33" s="15"/>
    </row>
    <row r="34" spans="1:11" hidden="1" x14ac:dyDescent="0.3">
      <c r="A34" s="14" t="s">
        <v>5</v>
      </c>
      <c r="B34" s="13">
        <f>B5</f>
        <v>7121</v>
      </c>
      <c r="C34" s="13">
        <f t="shared" ref="C34:F34" si="55">C5</f>
        <v>9311</v>
      </c>
      <c r="D34" s="13">
        <f t="shared" si="55"/>
        <v>11579</v>
      </c>
      <c r="E34" s="13">
        <f t="shared" si="55"/>
        <v>10514</v>
      </c>
      <c r="F34" s="13">
        <f t="shared" si="55"/>
        <v>11272</v>
      </c>
      <c r="G34" s="13">
        <f>G35*G$2</f>
        <v>11389.246799465216</v>
      </c>
      <c r="H34" s="13">
        <f t="shared" ref="H34" si="56">H35*H$2</f>
        <v>12512.801466494097</v>
      </c>
      <c r="I34" s="13">
        <f t="shared" ref="I34" si="57">I35*I$2</f>
        <v>13476.912115541842</v>
      </c>
      <c r="J34" s="13">
        <f t="shared" ref="J34" si="58">J35*J$2</f>
        <v>14381.438838934049</v>
      </c>
      <c r="K34" s="13">
        <f t="shared" ref="K34" si="59">K35*K$2</f>
        <v>15791.599177189435</v>
      </c>
    </row>
    <row r="35" spans="1:11" hidden="1" x14ac:dyDescent="0.3">
      <c r="A35" s="15" t="s">
        <v>31</v>
      </c>
      <c r="B35" s="12">
        <f>B34/B$2</f>
        <v>0.15142043038190015</v>
      </c>
      <c r="C35" s="12">
        <f t="shared" ref="C35:F35" si="60">C34/C$2</f>
        <v>0.17746731216406816</v>
      </c>
      <c r="D35" s="12">
        <f t="shared" si="60"/>
        <v>0.19113568834598876</v>
      </c>
      <c r="E35" s="12">
        <f t="shared" si="60"/>
        <v>0.16986558097453794</v>
      </c>
      <c r="F35" s="12">
        <f t="shared" si="60"/>
        <v>0.17857765244530346</v>
      </c>
      <c r="G35" s="12">
        <f>AVERAGE(B35:F35)</f>
        <v>0.17369333286235972</v>
      </c>
      <c r="H35" s="12">
        <f t="shared" ref="H35:K35" si="61">AVERAGE(C35:G35)</f>
        <v>0.17814791335845159</v>
      </c>
      <c r="I35" s="12">
        <f t="shared" si="61"/>
        <v>0.17828403359732828</v>
      </c>
      <c r="J35" s="12">
        <f t="shared" si="61"/>
        <v>0.17571370264759617</v>
      </c>
      <c r="K35" s="12">
        <f t="shared" si="61"/>
        <v>0.17688332698220782</v>
      </c>
    </row>
    <row r="36" spans="1:11" hidden="1" x14ac:dyDescent="0.3">
      <c r="A36" s="15"/>
    </row>
    <row r="37" spans="1:11" hidden="1" x14ac:dyDescent="0.3">
      <c r="A37" s="14" t="s">
        <v>7</v>
      </c>
      <c r="B37" s="13">
        <f>B7</f>
        <v>2358</v>
      </c>
      <c r="C37" s="13">
        <f t="shared" ref="C37:F37" si="62">C7</f>
        <v>2545</v>
      </c>
      <c r="D37" s="13">
        <f t="shared" si="62"/>
        <v>2854</v>
      </c>
      <c r="E37" s="13">
        <f t="shared" si="62"/>
        <v>3009</v>
      </c>
      <c r="F37" s="13">
        <f t="shared" si="62"/>
        <v>3077</v>
      </c>
      <c r="G37" s="13">
        <f>G38*G40</f>
        <v>3457.3172000000004</v>
      </c>
      <c r="H37" s="13">
        <f t="shared" ref="H37:K37" si="63">H38*H40</f>
        <v>3939.7858152600006</v>
      </c>
      <c r="I37" s="13">
        <f t="shared" si="63"/>
        <v>4552.8164881144576</v>
      </c>
      <c r="J37" s="13">
        <f t="shared" si="63"/>
        <v>5334.7627199481158</v>
      </c>
      <c r="K37" s="13">
        <f t="shared" si="63"/>
        <v>6337.6981112983631</v>
      </c>
    </row>
    <row r="38" spans="1:11" hidden="1" x14ac:dyDescent="0.3">
      <c r="A38" s="15" t="s">
        <v>32</v>
      </c>
      <c r="B38">
        <v>8525</v>
      </c>
      <c r="C38">
        <v>8480</v>
      </c>
      <c r="D38">
        <v>6697</v>
      </c>
      <c r="E38">
        <v>7215</v>
      </c>
      <c r="F38">
        <v>8202</v>
      </c>
      <c r="G38" s="9">
        <f>F38*(1+G39)</f>
        <v>8694.1200000000008</v>
      </c>
      <c r="H38" s="9">
        <f t="shared" ref="H38:K38" si="64">G38*(1+H39)</f>
        <v>9302.7084000000013</v>
      </c>
      <c r="I38" s="9">
        <f t="shared" si="64"/>
        <v>10046.925072000002</v>
      </c>
      <c r="J38" s="9">
        <f t="shared" si="64"/>
        <v>10951.148328480003</v>
      </c>
      <c r="K38" s="9">
        <f t="shared" si="64"/>
        <v>12046.263161328005</v>
      </c>
    </row>
    <row r="39" spans="1:11" hidden="1" x14ac:dyDescent="0.3">
      <c r="A39" s="7" t="s">
        <v>25</v>
      </c>
      <c r="C39" s="12">
        <f>C38/B38-1</f>
        <v>-5.278592375366542E-3</v>
      </c>
      <c r="D39" s="12">
        <f t="shared" ref="D39:F39" si="65">D38/C38-1</f>
        <v>-0.2102594339622641</v>
      </c>
      <c r="E39" s="12">
        <f t="shared" si="65"/>
        <v>7.7348066298342566E-2</v>
      </c>
      <c r="F39" s="12">
        <f t="shared" si="65"/>
        <v>0.13679833679833675</v>
      </c>
      <c r="G39" s="12">
        <f>6%</f>
        <v>0.06</v>
      </c>
      <c r="H39" s="12">
        <f>G39+1%</f>
        <v>6.9999999999999993E-2</v>
      </c>
      <c r="I39" s="12">
        <f t="shared" ref="I39:K39" si="66">H39+1%</f>
        <v>7.9999999999999988E-2</v>
      </c>
      <c r="J39" s="12">
        <f t="shared" si="66"/>
        <v>8.9999999999999983E-2</v>
      </c>
      <c r="K39" s="12">
        <f t="shared" si="66"/>
        <v>9.9999999999999978E-2</v>
      </c>
    </row>
    <row r="40" spans="1:11" hidden="1" x14ac:dyDescent="0.3">
      <c r="A40" s="15" t="s">
        <v>33</v>
      </c>
      <c r="B40" s="16">
        <f>B37/B38</f>
        <v>0.27659824046920822</v>
      </c>
      <c r="C40" s="16">
        <f t="shared" ref="C40:E40" si="67">C37/C38</f>
        <v>0.30011792452830188</v>
      </c>
      <c r="D40" s="16">
        <f t="shared" si="67"/>
        <v>0.42616096759743166</v>
      </c>
      <c r="E40" s="16">
        <f t="shared" si="67"/>
        <v>0.41704781704781707</v>
      </c>
      <c r="F40" s="16">
        <f>F37/F38</f>
        <v>0.37515240185320653</v>
      </c>
      <c r="G40" s="17">
        <f>F40*(1+G41)</f>
        <v>0.39766154596439895</v>
      </c>
      <c r="H40" s="17">
        <f t="shared" ref="H40:K40" si="68">G40*(1+H41)</f>
        <v>0.42350954645208488</v>
      </c>
      <c r="I40" s="17">
        <f t="shared" si="68"/>
        <v>0.45315521470373088</v>
      </c>
      <c r="J40" s="17">
        <f t="shared" si="68"/>
        <v>0.48714185580651065</v>
      </c>
      <c r="K40" s="17">
        <f t="shared" si="68"/>
        <v>0.52611320427103159</v>
      </c>
    </row>
    <row r="41" spans="1:11" hidden="1" x14ac:dyDescent="0.3">
      <c r="A41" s="7" t="s">
        <v>25</v>
      </c>
      <c r="C41" s="12">
        <f>C40/B40-1</f>
        <v>8.5031936642821604E-2</v>
      </c>
      <c r="D41" s="12">
        <f t="shared" ref="D41:F41" si="69">D40/C40-1</f>
        <v>0.41997839105156021</v>
      </c>
      <c r="E41" s="12">
        <f t="shared" si="69"/>
        <v>-2.1384291951916268E-2</v>
      </c>
      <c r="F41" s="12">
        <f t="shared" si="69"/>
        <v>-0.10045710223632931</v>
      </c>
      <c r="G41" s="12">
        <f>6%</f>
        <v>0.06</v>
      </c>
      <c r="H41" s="11">
        <f>G41+0.5%</f>
        <v>6.5000000000000002E-2</v>
      </c>
      <c r="I41" s="11">
        <f t="shared" ref="I41:K41" si="70">H41+0.5%</f>
        <v>7.0000000000000007E-2</v>
      </c>
      <c r="J41" s="11">
        <f t="shared" si="70"/>
        <v>7.5000000000000011E-2</v>
      </c>
      <c r="K41" s="11">
        <f t="shared" si="70"/>
        <v>8.0000000000000016E-2</v>
      </c>
    </row>
    <row r="42" spans="1:11" x14ac:dyDescent="0.3">
      <c r="A42" s="7"/>
    </row>
    <row r="43" spans="1:11" hidden="1" x14ac:dyDescent="0.3">
      <c r="A43" s="14" t="s">
        <v>10</v>
      </c>
      <c r="B43" s="13">
        <f>B8</f>
        <v>10896</v>
      </c>
      <c r="C43" s="13">
        <f t="shared" ref="C43:F43" si="71">C8</f>
        <v>11309</v>
      </c>
      <c r="D43" s="13">
        <f t="shared" si="71"/>
        <v>11861</v>
      </c>
      <c r="E43" s="13">
        <f t="shared" si="71"/>
        <v>14464</v>
      </c>
      <c r="F43" s="13">
        <f t="shared" si="71"/>
        <v>14615</v>
      </c>
      <c r="G43" s="13">
        <f>SUM(G44,G46,G48,G50,G52,G54,G56,G58,G60,G62,G64)</f>
        <v>14440.37240506331</v>
      </c>
      <c r="H43" s="13">
        <f t="shared" ref="H43:K43" si="72">SUM(H44,H46,H48,H50,H52,H54,H56,H58,H60,H62,H64)</f>
        <v>15307.138793772177</v>
      </c>
      <c r="I43" s="13">
        <f t="shared" si="72"/>
        <v>16509.984946165445</v>
      </c>
      <c r="J43" s="13">
        <f t="shared" si="72"/>
        <v>18245.756078350441</v>
      </c>
      <c r="K43" s="13">
        <f t="shared" si="72"/>
        <v>19710.333146283258</v>
      </c>
    </row>
    <row r="44" spans="1:11" hidden="1" x14ac:dyDescent="0.3">
      <c r="A44" s="7" t="s">
        <v>34</v>
      </c>
      <c r="B44">
        <v>4754</v>
      </c>
      <c r="C44">
        <v>4744</v>
      </c>
      <c r="D44">
        <v>4907</v>
      </c>
      <c r="E44">
        <v>6489</v>
      </c>
      <c r="F44">
        <v>6028</v>
      </c>
      <c r="G44" s="13">
        <f>G45*G$2</f>
        <v>6200.9947271698466</v>
      </c>
      <c r="H44" s="13">
        <f t="shared" ref="H44:K44" si="73">H45*H$2</f>
        <v>6550.7894307578918</v>
      </c>
      <c r="I44" s="13">
        <f t="shared" si="73"/>
        <v>7093.149210154379</v>
      </c>
      <c r="J44" s="13">
        <f t="shared" si="73"/>
        <v>7890.0203650823505</v>
      </c>
      <c r="K44" s="13">
        <f t="shared" si="73"/>
        <v>8455.7510980648531</v>
      </c>
    </row>
    <row r="45" spans="1:11" hidden="1" x14ac:dyDescent="0.3">
      <c r="A45" s="15" t="s">
        <v>31</v>
      </c>
      <c r="B45" s="18">
        <f>B44/B$2</f>
        <v>0.10108871310708514</v>
      </c>
      <c r="C45" s="18">
        <f t="shared" ref="C45:F45" si="74">C44/C$2</f>
        <v>9.0420462775892954E-2</v>
      </c>
      <c r="D45" s="18">
        <f t="shared" si="74"/>
        <v>8.1000330141961049E-2</v>
      </c>
      <c r="E45" s="18">
        <f t="shared" si="74"/>
        <v>0.10483714618069019</v>
      </c>
      <c r="F45" s="18">
        <f t="shared" si="74"/>
        <v>9.5499120736363491E-2</v>
      </c>
      <c r="G45" s="5">
        <f>AVERAGE(B45:F45)</f>
        <v>9.4569154588398568E-2</v>
      </c>
      <c r="H45" s="5">
        <f t="shared" ref="H45:K45" si="75">AVERAGE(C45:G45)</f>
        <v>9.3265242884661245E-2</v>
      </c>
      <c r="I45" s="5">
        <f t="shared" si="75"/>
        <v>9.3834198906414895E-2</v>
      </c>
      <c r="J45" s="5">
        <f t="shared" si="75"/>
        <v>9.6400972659305695E-2</v>
      </c>
      <c r="K45" s="5">
        <f t="shared" si="75"/>
        <v>9.4713737955028771E-2</v>
      </c>
    </row>
    <row r="46" spans="1:11" hidden="1" x14ac:dyDescent="0.3">
      <c r="A46" s="7" t="s">
        <v>35</v>
      </c>
      <c r="B46">
        <v>1743</v>
      </c>
      <c r="C46">
        <v>1874</v>
      </c>
      <c r="D46">
        <v>1972</v>
      </c>
      <c r="E46">
        <v>2005</v>
      </c>
      <c r="F46">
        <v>1958</v>
      </c>
      <c r="G46" s="13">
        <f>G47*G$2</f>
        <v>2212.9720225425913</v>
      </c>
      <c r="H46" s="13">
        <f t="shared" ref="H46" si="76">H47*H$2</f>
        <v>2323.9378129780448</v>
      </c>
      <c r="I46" s="13">
        <f t="shared" ref="I46" si="77">I47*I$2</f>
        <v>2461.2960292289272</v>
      </c>
      <c r="J46" s="13">
        <f t="shared" ref="J46" si="78">J47*J$2</f>
        <v>2665.0432657472638</v>
      </c>
      <c r="K46" s="13">
        <f t="shared" ref="K46" si="79">K47*K$2</f>
        <v>2910.023656407056</v>
      </c>
    </row>
    <row r="47" spans="1:11" hidden="1" x14ac:dyDescent="0.3">
      <c r="A47" s="15" t="s">
        <v>31</v>
      </c>
      <c r="B47" s="18">
        <f>B46/B$2</f>
        <v>3.7063026282214848E-2</v>
      </c>
      <c r="C47" s="18">
        <f t="shared" ref="C47:F47" si="80">C46/C$2</f>
        <v>3.5718369991994812E-2</v>
      </c>
      <c r="D47" s="18">
        <f t="shared" si="80"/>
        <v>3.2551997358864312E-2</v>
      </c>
      <c r="E47" s="18">
        <f t="shared" si="80"/>
        <v>3.23930464004136E-2</v>
      </c>
      <c r="F47" s="18">
        <f t="shared" si="80"/>
        <v>3.1019787392468433E-2</v>
      </c>
      <c r="G47" s="5">
        <f>AVERAGE(B47:F47)</f>
        <v>3.3749245485191197E-2</v>
      </c>
      <c r="H47" s="5">
        <f t="shared" ref="H47:K47" si="81">AVERAGE(C47:G47)</f>
        <v>3.3086489325786471E-2</v>
      </c>
      <c r="I47" s="5">
        <f t="shared" si="81"/>
        <v>3.2560113192544801E-2</v>
      </c>
      <c r="J47" s="5">
        <f t="shared" si="81"/>
        <v>3.2561736359280904E-2</v>
      </c>
      <c r="K47" s="5">
        <f t="shared" si="81"/>
        <v>3.2595474351054352E-2</v>
      </c>
    </row>
    <row r="48" spans="1:11" hidden="1" x14ac:dyDescent="0.3">
      <c r="A48" s="7" t="s">
        <v>36</v>
      </c>
      <c r="B48">
        <v>754</v>
      </c>
      <c r="C48">
        <v>852</v>
      </c>
      <c r="D48">
        <v>1003</v>
      </c>
      <c r="E48">
        <v>1132</v>
      </c>
      <c r="F48">
        <v>1239</v>
      </c>
      <c r="G48" s="13">
        <f>G49*G$2</f>
        <v>1137.6100035070958</v>
      </c>
      <c r="H48" s="13">
        <f t="shared" ref="H48" si="82">H49*H$2</f>
        <v>1237.0743643937808</v>
      </c>
      <c r="I48" s="13">
        <f t="shared" ref="I48" si="83">I49*I$2</f>
        <v>1352.1380866895076</v>
      </c>
      <c r="J48" s="13">
        <f t="shared" ref="J48" si="84">J49*J$2</f>
        <v>1485.7767285027012</v>
      </c>
      <c r="K48" s="13">
        <f t="shared" ref="K48" si="85">K49*K$2</f>
        <v>1618.2580276513995</v>
      </c>
    </row>
    <row r="49" spans="1:11" hidden="1" x14ac:dyDescent="0.3">
      <c r="A49" s="15" t="s">
        <v>31</v>
      </c>
      <c r="B49" s="18">
        <f>B48/B$2</f>
        <v>1.6033001616058518E-2</v>
      </c>
      <c r="C49" s="18">
        <f t="shared" ref="C49:F49" si="86">C48/C$2</f>
        <v>1.6239088171387184E-2</v>
      </c>
      <c r="D49" s="18">
        <f t="shared" si="86"/>
        <v>1.6556619346318916E-2</v>
      </c>
      <c r="E49" s="18">
        <f t="shared" si="86"/>
        <v>1.8288742406617552E-2</v>
      </c>
      <c r="F49" s="18">
        <f t="shared" si="86"/>
        <v>1.9628966587981814E-2</v>
      </c>
      <c r="G49" s="5">
        <f>AVERAGE(B49:F49)</f>
        <v>1.7349283625672798E-2</v>
      </c>
      <c r="H49" s="5">
        <f t="shared" ref="H49:K49" si="87">AVERAGE(C49:G49)</f>
        <v>1.7612540027595651E-2</v>
      </c>
      <c r="I49" s="5">
        <f t="shared" si="87"/>
        <v>1.7887230398837346E-2</v>
      </c>
      <c r="J49" s="5">
        <f t="shared" si="87"/>
        <v>1.815335260934103E-2</v>
      </c>
      <c r="K49" s="5">
        <f t="shared" si="87"/>
        <v>1.812627464988573E-2</v>
      </c>
    </row>
    <row r="50" spans="1:11" hidden="1" x14ac:dyDescent="0.3">
      <c r="A50" s="7" t="s">
        <v>37</v>
      </c>
      <c r="B50">
        <v>450</v>
      </c>
      <c r="C50">
        <v>500</v>
      </c>
      <c r="D50">
        <v>575</v>
      </c>
      <c r="E50">
        <v>784</v>
      </c>
      <c r="F50">
        <v>856</v>
      </c>
      <c r="G50" s="13">
        <f>G51*G$2</f>
        <v>718.89421420390931</v>
      </c>
      <c r="H50" s="13">
        <f t="shared" ref="H50" si="88">H51*H$2</f>
        <v>789.65833024826884</v>
      </c>
      <c r="I50" s="13">
        <f t="shared" ref="I50" si="89">I51*I$2</f>
        <v>875.74375129851171</v>
      </c>
      <c r="J50" s="13">
        <f t="shared" ref="J50" si="90">J51*J$2</f>
        <v>982.45982674541506</v>
      </c>
      <c r="K50" s="13">
        <f t="shared" ref="K50" si="91">K51*K$2</f>
        <v>1059.8292562666875</v>
      </c>
    </row>
    <row r="51" spans="1:11" hidden="1" x14ac:dyDescent="0.3">
      <c r="A51" s="15" t="s">
        <v>31</v>
      </c>
      <c r="B51" s="18">
        <f>B50/B$2</f>
        <v>9.5687675427404955E-3</v>
      </c>
      <c r="C51" s="18">
        <f t="shared" ref="C51:F51" si="92">C50/C$2</f>
        <v>9.5299813212366101E-3</v>
      </c>
      <c r="D51" s="18">
        <f t="shared" si="92"/>
        <v>9.4915813799933968E-3</v>
      </c>
      <c r="E51" s="18">
        <f t="shared" si="92"/>
        <v>1.2666408168540777E-2</v>
      </c>
      <c r="F51" s="18">
        <f t="shared" si="92"/>
        <v>1.3561255366676701E-2</v>
      </c>
      <c r="G51" s="5">
        <f>AVERAGE(B51:F51)</f>
        <v>1.0963598755837595E-2</v>
      </c>
      <c r="H51" s="5">
        <f t="shared" ref="H51:K51" si="93">AVERAGE(C51:G51)</f>
        <v>1.1242564998457017E-2</v>
      </c>
      <c r="I51" s="5">
        <f t="shared" si="93"/>
        <v>1.1585081733901097E-2</v>
      </c>
      <c r="J51" s="5">
        <f t="shared" si="93"/>
        <v>1.2003781804682636E-2</v>
      </c>
      <c r="K51" s="5">
        <f t="shared" si="93"/>
        <v>1.1871256531911008E-2</v>
      </c>
    </row>
    <row r="52" spans="1:11" hidden="1" x14ac:dyDescent="0.3">
      <c r="A52" s="7" t="s">
        <v>38</v>
      </c>
      <c r="B52">
        <v>293</v>
      </c>
      <c r="C52">
        <v>259</v>
      </c>
      <c r="D52">
        <v>204</v>
      </c>
      <c r="E52">
        <v>209</v>
      </c>
      <c r="F52">
        <v>344</v>
      </c>
      <c r="G52" s="13">
        <f>G53*G$2</f>
        <v>306.35812279115765</v>
      </c>
      <c r="H52" s="13">
        <f t="shared" ref="H52" si="94">H53*H$2</f>
        <v>306.27564844934557</v>
      </c>
      <c r="I52" s="13">
        <f t="shared" ref="I52" si="95">I53*I$2</f>
        <v>320.91396986650915</v>
      </c>
      <c r="J52" s="13">
        <f t="shared" ref="J52" si="96">J53*J$2</f>
        <v>361.83213378466382</v>
      </c>
      <c r="K52" s="13">
        <f t="shared" ref="K52" si="97">K53*K$2</f>
        <v>413.32986962935456</v>
      </c>
    </row>
    <row r="53" spans="1:11" hidden="1" x14ac:dyDescent="0.3">
      <c r="A53" s="15" t="s">
        <v>31</v>
      </c>
      <c r="B53" s="18">
        <f>B52/B$2</f>
        <v>6.2303308667177003E-3</v>
      </c>
      <c r="C53" s="18">
        <f t="shared" ref="C53:F53" si="98">C52/C$2</f>
        <v>4.9365303244005643E-3</v>
      </c>
      <c r="D53" s="18">
        <f t="shared" si="98"/>
        <v>3.3674480026411359E-3</v>
      </c>
      <c r="E53" s="18">
        <f t="shared" si="98"/>
        <v>3.3766317694196718E-3</v>
      </c>
      <c r="F53" s="18">
        <f t="shared" si="98"/>
        <v>5.4498502875429729E-3</v>
      </c>
      <c r="G53" s="5">
        <f>AVERAGE(B53:F53)</f>
        <v>4.6721582501444096E-3</v>
      </c>
      <c r="H53" s="5">
        <f t="shared" ref="H53:K53" si="99">AVERAGE(C53:G53)</f>
        <v>4.3605237268297499E-3</v>
      </c>
      <c r="I53" s="5">
        <f t="shared" si="99"/>
        <v>4.2453224073155885E-3</v>
      </c>
      <c r="J53" s="5">
        <f t="shared" si="99"/>
        <v>4.4208972882504791E-3</v>
      </c>
      <c r="K53" s="5">
        <f t="shared" si="99"/>
        <v>4.6297503920166407E-3</v>
      </c>
    </row>
    <row r="54" spans="1:11" hidden="1" x14ac:dyDescent="0.3">
      <c r="A54" s="7" t="s">
        <v>39</v>
      </c>
      <c r="B54">
        <v>339</v>
      </c>
      <c r="C54">
        <v>318</v>
      </c>
      <c r="D54">
        <v>384</v>
      </c>
      <c r="E54">
        <v>446</v>
      </c>
      <c r="F54">
        <v>365</v>
      </c>
      <c r="G54" s="13">
        <f>G55*G$2</f>
        <v>427.47634954301918</v>
      </c>
      <c r="H54" s="13">
        <f t="shared" ref="H54" si="100">H55*H$2</f>
        <v>448.22219482632352</v>
      </c>
      <c r="I54" s="13">
        <f t="shared" ref="I54" si="101">I55*I$2</f>
        <v>487.23282656615442</v>
      </c>
      <c r="J54" s="13">
        <f t="shared" ref="J54" si="102">J55*J$2</f>
        <v>529.28817857257161</v>
      </c>
      <c r="K54" s="13">
        <f t="shared" ref="K54" si="103">K55*K$2</f>
        <v>564.15347981762716</v>
      </c>
    </row>
    <row r="55" spans="1:11" hidden="1" x14ac:dyDescent="0.3">
      <c r="A55" s="15" t="s">
        <v>31</v>
      </c>
      <c r="B55" s="18">
        <f>B54/B$2</f>
        <v>7.2084715488645061E-3</v>
      </c>
      <c r="C55" s="18">
        <f t="shared" ref="C55:F55" si="104">C54/C$2</f>
        <v>6.0610681203064846E-3</v>
      </c>
      <c r="D55" s="18">
        <f t="shared" si="104"/>
        <v>6.3387256520303732E-3</v>
      </c>
      <c r="E55" s="18">
        <f t="shared" si="104"/>
        <v>7.2056352591443711E-3</v>
      </c>
      <c r="F55" s="18">
        <f t="shared" si="104"/>
        <v>5.7825446364918173E-3</v>
      </c>
      <c r="G55" s="5">
        <f>AVERAGE(B55:F55)</f>
        <v>6.5192890433675103E-3</v>
      </c>
      <c r="H55" s="5">
        <f t="shared" ref="H55:K55" si="105">AVERAGE(C55:G55)</f>
        <v>6.3814525422681108E-3</v>
      </c>
      <c r="I55" s="5">
        <f t="shared" si="105"/>
        <v>6.4455294266604363E-3</v>
      </c>
      <c r="J55" s="5">
        <f t="shared" si="105"/>
        <v>6.4668901815864502E-3</v>
      </c>
      <c r="K55" s="5">
        <f t="shared" si="105"/>
        <v>6.3191411660748651E-3</v>
      </c>
    </row>
    <row r="56" spans="1:11" hidden="1" x14ac:dyDescent="0.3">
      <c r="A56" s="7" t="s">
        <v>40</v>
      </c>
      <c r="B56">
        <v>104</v>
      </c>
      <c r="C56">
        <v>82</v>
      </c>
      <c r="D56">
        <v>79</v>
      </c>
      <c r="E56">
        <v>81</v>
      </c>
      <c r="F56">
        <v>54</v>
      </c>
      <c r="G56" s="13">
        <f>G57*G$2</f>
        <v>94.980557474378685</v>
      </c>
      <c r="H56" s="13">
        <f t="shared" ref="H56" si="106">H57*H$2</f>
        <v>91.023724712744865</v>
      </c>
      <c r="I56" s="13">
        <f t="shared" ref="I56" si="107">I57*I$2</f>
        <v>93.925777093683749</v>
      </c>
      <c r="J56" s="13">
        <f t="shared" ref="J56" si="108">J57*J$2</f>
        <v>100.68871835071813</v>
      </c>
      <c r="K56" s="13">
        <f t="shared" ref="K56" si="109">K57*K$2</f>
        <v>108.43031728864395</v>
      </c>
    </row>
    <row r="57" spans="1:11" hidden="1" x14ac:dyDescent="0.3">
      <c r="A57" s="15" t="s">
        <v>31</v>
      </c>
      <c r="B57" s="18">
        <f>B56/B$2</f>
        <v>2.211448498766692E-3</v>
      </c>
      <c r="C57" s="18">
        <f t="shared" ref="C57:F57" si="110">C56/C$2</f>
        <v>1.5629169366828042E-3</v>
      </c>
      <c r="D57" s="18">
        <f t="shared" si="110"/>
        <v>1.3040607461208319E-3</v>
      </c>
      <c r="E57" s="18">
        <f t="shared" si="110"/>
        <v>1.3086467623109731E-3</v>
      </c>
      <c r="F57" s="18">
        <f t="shared" si="110"/>
        <v>8.5549975443988526E-4</v>
      </c>
      <c r="G57" s="5">
        <f>AVERAGE(B57:F57)</f>
        <v>1.4485145396642373E-3</v>
      </c>
      <c r="H57" s="5">
        <f t="shared" ref="H57:K57" si="111">AVERAGE(C57:G57)</f>
        <v>1.2959277478437465E-3</v>
      </c>
      <c r="I57" s="5">
        <f t="shared" si="111"/>
        <v>1.2425299100759348E-3</v>
      </c>
      <c r="J57" s="5">
        <f t="shared" si="111"/>
        <v>1.2302237428669554E-3</v>
      </c>
      <c r="K57" s="5">
        <f t="shared" si="111"/>
        <v>1.2145391389781518E-3</v>
      </c>
    </row>
    <row r="58" spans="1:11" hidden="1" x14ac:dyDescent="0.3">
      <c r="A58" s="7" t="s">
        <v>41</v>
      </c>
      <c r="B58">
        <v>93</v>
      </c>
      <c r="C58">
        <v>112</v>
      </c>
      <c r="D58">
        <v>249</v>
      </c>
      <c r="E58">
        <v>282</v>
      </c>
      <c r="F58">
        <v>225</v>
      </c>
      <c r="G58" s="13">
        <f>G59*G$2</f>
        <v>214.3272344552197</v>
      </c>
      <c r="H58" s="13">
        <f t="shared" ref="H58" si="112">H59*H$2</f>
        <v>247.71946876603886</v>
      </c>
      <c r="I58" s="13">
        <f t="shared" ref="I58" si="113">I59*I$2</f>
        <v>287.64939499760197</v>
      </c>
      <c r="J58" s="13">
        <f t="shared" ref="J58" si="114">J59*J$2</f>
        <v>306.45307152630295</v>
      </c>
      <c r="K58" s="13">
        <f t="shared" ref="K58" si="115">K59*K$2</f>
        <v>319.78273067909879</v>
      </c>
    </row>
    <row r="59" spans="1:11" hidden="1" x14ac:dyDescent="0.3">
      <c r="A59" s="15" t="s">
        <v>31</v>
      </c>
      <c r="B59" s="18">
        <f>B58/B$2</f>
        <v>1.977545292166369E-3</v>
      </c>
      <c r="C59" s="18">
        <f t="shared" ref="C59:F59" si="116">C58/C$2</f>
        <v>2.1347158159570009E-3</v>
      </c>
      <c r="D59" s="18">
        <f t="shared" si="116"/>
        <v>4.1102674149884454E-3</v>
      </c>
      <c r="E59" s="18">
        <f t="shared" si="116"/>
        <v>4.5560294687863514E-3</v>
      </c>
      <c r="F59" s="18">
        <f t="shared" si="116"/>
        <v>3.5645823101661889E-3</v>
      </c>
      <c r="G59" s="5">
        <f>AVERAGE(B59:F59)</f>
        <v>3.2686280604128709E-3</v>
      </c>
      <c r="H59" s="5">
        <f t="shared" ref="H59:K59" si="117">AVERAGE(C59:G59)</f>
        <v>3.5268446140621717E-3</v>
      </c>
      <c r="I59" s="5">
        <f t="shared" si="117"/>
        <v>3.8052703736832054E-3</v>
      </c>
      <c r="J59" s="5">
        <f t="shared" si="117"/>
        <v>3.7442709654221585E-3</v>
      </c>
      <c r="K59" s="5">
        <f t="shared" si="117"/>
        <v>3.5819192647493191E-3</v>
      </c>
    </row>
    <row r="60" spans="1:11" hidden="1" x14ac:dyDescent="0.3">
      <c r="A60" s="7" t="s">
        <v>42</v>
      </c>
      <c r="B60">
        <v>163</v>
      </c>
      <c r="C60">
        <v>209</v>
      </c>
      <c r="D60">
        <v>223</v>
      </c>
      <c r="E60">
        <v>227</v>
      </c>
      <c r="F60">
        <v>216</v>
      </c>
      <c r="G60" s="13">
        <f>G61*G$2</f>
        <v>238.94175362502418</v>
      </c>
      <c r="H60" s="13">
        <f t="shared" ref="H60" si="118">H61*H$2</f>
        <v>258.44974786981265</v>
      </c>
      <c r="I60" s="13">
        <f t="shared" ref="I60" si="119">I61*I$2</f>
        <v>273.55598096475597</v>
      </c>
      <c r="J60" s="13">
        <f t="shared" ref="J60" si="120">J61*J$2</f>
        <v>295.1672918149103</v>
      </c>
      <c r="K60" s="13">
        <f t="shared" ref="K60" si="121">K61*K$2</f>
        <v>320.87625385731707</v>
      </c>
    </row>
    <row r="61" spans="1:11" hidden="1" x14ac:dyDescent="0.3">
      <c r="A61" s="15" t="s">
        <v>31</v>
      </c>
      <c r="B61" s="18">
        <f>B60/B$2</f>
        <v>3.4660202432593348E-3</v>
      </c>
      <c r="C61" s="18">
        <f t="shared" ref="C61:F61" si="122">C60/C$2</f>
        <v>3.9835321922769033E-3</v>
      </c>
      <c r="D61" s="18">
        <f t="shared" si="122"/>
        <v>3.6810828656322217E-3</v>
      </c>
      <c r="E61" s="18">
        <f t="shared" si="122"/>
        <v>3.6674421610443323E-3</v>
      </c>
      <c r="F61" s="18">
        <f t="shared" si="122"/>
        <v>3.421999017759541E-3</v>
      </c>
      <c r="G61" s="5">
        <f>AVERAGE(B61:F61)</f>
        <v>3.6440152959944668E-3</v>
      </c>
      <c r="H61" s="5">
        <f t="shared" ref="H61:K61" si="123">AVERAGE(C61:G61)</f>
        <v>3.6796143065414926E-3</v>
      </c>
      <c r="I61" s="5">
        <f t="shared" si="123"/>
        <v>3.6188307293944107E-3</v>
      </c>
      <c r="J61" s="5">
        <f t="shared" si="123"/>
        <v>3.6063803021468485E-3</v>
      </c>
      <c r="K61" s="5">
        <f t="shared" si="123"/>
        <v>3.5941679303673523E-3</v>
      </c>
    </row>
    <row r="62" spans="1:11" hidden="1" x14ac:dyDescent="0.3">
      <c r="A62" s="7" t="s">
        <v>43</v>
      </c>
      <c r="B62">
        <v>167</v>
      </c>
      <c r="C62">
        <v>190</v>
      </c>
      <c r="D62">
        <v>213</v>
      </c>
      <c r="E62">
        <v>239</v>
      </c>
      <c r="F62">
        <v>254</v>
      </c>
      <c r="G62" s="13">
        <f>G63*G$2</f>
        <v>243.58073690299645</v>
      </c>
      <c r="H62" s="13">
        <f t="shared" ref="H62" si="124">H63*H$2</f>
        <v>263.21793115140724</v>
      </c>
      <c r="I62" s="13">
        <f t="shared" ref="I62" si="125">I63*I$2</f>
        <v>285.18895481648246</v>
      </c>
      <c r="J62" s="13">
        <f t="shared" ref="J62" si="126">J63*J$2</f>
        <v>312.98376180530198</v>
      </c>
      <c r="K62" s="13">
        <f t="shared" ref="K62" si="127">K63*K$2</f>
        <v>340.7354719334532</v>
      </c>
    </row>
    <row r="63" spans="1:11" hidden="1" x14ac:dyDescent="0.3">
      <c r="A63" s="15" t="s">
        <v>31</v>
      </c>
      <c r="B63" s="18">
        <f>B62/B$2</f>
        <v>3.5510759547503616E-3</v>
      </c>
      <c r="C63" s="18">
        <f t="shared" ref="C63:F63" si="128">C62/C$2</f>
        <v>3.621392902069912E-3</v>
      </c>
      <c r="D63" s="18">
        <f t="shared" si="128"/>
        <v>3.5160118851105975E-3</v>
      </c>
      <c r="E63" s="18">
        <f t="shared" si="128"/>
        <v>3.8613157554607731E-3</v>
      </c>
      <c r="F63" s="18">
        <f t="shared" si="128"/>
        <v>4.0240173634764976E-3</v>
      </c>
      <c r="G63" s="5">
        <f>AVERAGE(B63:F63)</f>
        <v>3.7147627721736283E-3</v>
      </c>
      <c r="H63" s="5">
        <f t="shared" ref="H63:K63" si="129">AVERAGE(C63:G63)</f>
        <v>3.7475001356582814E-3</v>
      </c>
      <c r="I63" s="5">
        <f t="shared" si="129"/>
        <v>3.7727215823759553E-3</v>
      </c>
      <c r="J63" s="5">
        <f t="shared" si="129"/>
        <v>3.8240635218290278E-3</v>
      </c>
      <c r="K63" s="5">
        <f t="shared" si="129"/>
        <v>3.8166130751026784E-3</v>
      </c>
    </row>
    <row r="64" spans="1:11" hidden="1" x14ac:dyDescent="0.3">
      <c r="A64" s="7" t="s">
        <v>44</v>
      </c>
      <c r="B64">
        <v>2036</v>
      </c>
      <c r="C64">
        <v>2169</v>
      </c>
      <c r="D64">
        <v>2053</v>
      </c>
      <c r="E64">
        <v>2570</v>
      </c>
      <c r="F64">
        <v>2625</v>
      </c>
      <c r="G64" s="13">
        <f>G65*G$2</f>
        <v>2644.2366828480717</v>
      </c>
      <c r="H64" s="13">
        <f t="shared" ref="H64" si="130">H65*H$2</f>
        <v>2790.7701396185198</v>
      </c>
      <c r="I64" s="13">
        <f t="shared" ref="I64" si="131">I65*I$2</f>
        <v>2979.1909644889338</v>
      </c>
      <c r="J64" s="13">
        <f t="shared" ref="J64" si="132">J65*J$2</f>
        <v>3316.0427364182406</v>
      </c>
      <c r="K64" s="13">
        <f t="shared" ref="K64" si="133">K65*K$2</f>
        <v>3599.162984687764</v>
      </c>
    </row>
    <row r="65" spans="1:11" hidden="1" x14ac:dyDescent="0.3">
      <c r="A65" s="15" t="s">
        <v>31</v>
      </c>
      <c r="B65" s="18">
        <f>B64/B$2</f>
        <v>4.3293357148932551E-2</v>
      </c>
      <c r="C65" s="18">
        <f t="shared" ref="C65:F65" si="134">C64/C$2</f>
        <v>4.1341058971524416E-2</v>
      </c>
      <c r="D65" s="18">
        <f t="shared" si="134"/>
        <v>3.3889072301089465E-2</v>
      </c>
      <c r="E65" s="18">
        <f t="shared" si="134"/>
        <v>4.1521261470854338E-2</v>
      </c>
      <c r="F65" s="18">
        <f t="shared" si="134"/>
        <v>4.1586793618605539E-2</v>
      </c>
      <c r="G65" s="5">
        <f>AVERAGE(B65:F65)</f>
        <v>4.0326308702201261E-2</v>
      </c>
      <c r="H65" s="5">
        <f t="shared" ref="H65:K65" si="135">AVERAGE(C65:G65)</f>
        <v>3.9732899012855004E-2</v>
      </c>
      <c r="I65" s="5">
        <f t="shared" si="135"/>
        <v>3.9411267021121126E-2</v>
      </c>
      <c r="J65" s="5">
        <f t="shared" si="135"/>
        <v>4.0515705965127449E-2</v>
      </c>
      <c r="K65" s="5">
        <f t="shared" si="135"/>
        <v>4.0314594863982076E-2</v>
      </c>
    </row>
    <row r="66" spans="1:11" x14ac:dyDescent="0.3">
      <c r="A66" s="14" t="s">
        <v>22</v>
      </c>
      <c r="B66" s="13">
        <f>B11</f>
        <v>-2606</v>
      </c>
      <c r="C66" s="13">
        <f t="shared" ref="C66:F66" si="136">C11</f>
        <v>-2987</v>
      </c>
      <c r="D66" s="13">
        <f t="shared" si="136"/>
        <v>-3201</v>
      </c>
      <c r="E66" s="13">
        <f t="shared" si="136"/>
        <v>-3644</v>
      </c>
      <c r="F66" s="13">
        <f t="shared" si="136"/>
        <v>-3744</v>
      </c>
      <c r="G66" s="13">
        <f>-G67*IS!G17</f>
        <v>-3769.6547303742955</v>
      </c>
      <c r="H66" s="13">
        <f>-H67*IS!H17</f>
        <v>-3993.7160446409471</v>
      </c>
      <c r="I66" s="13">
        <f>-I67*IS!I17</f>
        <v>-4219.8923056498152</v>
      </c>
      <c r="J66" s="13">
        <f>-J67*IS!J17</f>
        <v>-4522.8407010986157</v>
      </c>
      <c r="K66" s="13">
        <f>-K67*IS!K17</f>
        <v>-4848.6104471743602</v>
      </c>
    </row>
    <row r="67" spans="1:11" x14ac:dyDescent="0.3">
      <c r="A67" t="s">
        <v>45</v>
      </c>
      <c r="B67" s="12">
        <f>-B66/IS!B17</f>
        <v>0.24570997548557422</v>
      </c>
      <c r="C67" s="12">
        <f>-C66/IS!C17</f>
        <v>0.25113502606356147</v>
      </c>
      <c r="D67" s="12">
        <f>-D66/IS!D17</f>
        <v>0.23986511802173099</v>
      </c>
      <c r="E67" s="12">
        <f>-E66/IS!E17</f>
        <v>0.26166882091052707</v>
      </c>
      <c r="F67" s="12">
        <f>-F66/IS!F17</f>
        <v>0.25971143174250833</v>
      </c>
      <c r="G67" s="12">
        <f>25%</f>
        <v>0.25</v>
      </c>
      <c r="H67" s="12">
        <f>25%</f>
        <v>0.25</v>
      </c>
      <c r="I67" s="12">
        <f>25%</f>
        <v>0.25</v>
      </c>
      <c r="J67" s="12">
        <f>25%</f>
        <v>0.25</v>
      </c>
      <c r="K67" s="12">
        <f>25%</f>
        <v>0.25</v>
      </c>
    </row>
    <row r="68" spans="1:11" x14ac:dyDescent="0.3">
      <c r="A68" t="s">
        <v>17</v>
      </c>
      <c r="B68" s="13">
        <f>B12</f>
        <v>-2520</v>
      </c>
      <c r="C68" s="13">
        <f t="shared" ref="C68:F68" si="137">C12</f>
        <v>-2840</v>
      </c>
      <c r="D68" s="13">
        <f t="shared" si="137"/>
        <v>-3001</v>
      </c>
      <c r="E68" s="13">
        <f t="shared" si="137"/>
        <v>-3521</v>
      </c>
      <c r="F68" s="13">
        <f t="shared" si="137"/>
        <v>-3620</v>
      </c>
      <c r="G68" s="16">
        <f>G69*G$66</f>
        <v>-3644.8050544751468</v>
      </c>
      <c r="H68" s="16">
        <f t="shared" ref="H68:K68" si="138">H69*H$66</f>
        <v>-3861.4455346154455</v>
      </c>
      <c r="I68" s="16">
        <f t="shared" si="138"/>
        <v>-4080.1309151849173</v>
      </c>
      <c r="J68" s="16">
        <f t="shared" si="138"/>
        <v>-4373.0457633485548</v>
      </c>
      <c r="K68" s="16">
        <f t="shared" si="138"/>
        <v>-4688.0261268085424</v>
      </c>
    </row>
    <row r="69" spans="1:11" x14ac:dyDescent="0.3">
      <c r="A69" t="s">
        <v>46</v>
      </c>
      <c r="B69" s="12">
        <f>B68/B66</f>
        <v>0.96699923254029163</v>
      </c>
      <c r="C69" s="12">
        <f t="shared" ref="C69:F69" si="139">C68/C66</f>
        <v>0.95078674255105455</v>
      </c>
      <c r="D69" s="12">
        <f t="shared" si="139"/>
        <v>0.9375195251483911</v>
      </c>
      <c r="E69" s="12">
        <f t="shared" si="139"/>
        <v>0.96624588364434683</v>
      </c>
      <c r="F69" s="12">
        <f t="shared" si="139"/>
        <v>0.96688034188034189</v>
      </c>
      <c r="G69" s="12">
        <f>F69</f>
        <v>0.96688034188034189</v>
      </c>
      <c r="H69" s="12">
        <f t="shared" ref="H69:K69" si="140">G69</f>
        <v>0.96688034188034189</v>
      </c>
      <c r="I69" s="12">
        <f t="shared" si="140"/>
        <v>0.96688034188034189</v>
      </c>
      <c r="J69" s="12">
        <f t="shared" si="140"/>
        <v>0.96688034188034189</v>
      </c>
      <c r="K69" s="12">
        <f t="shared" si="140"/>
        <v>0.96688034188034189</v>
      </c>
    </row>
    <row r="70" spans="1:11" x14ac:dyDescent="0.3">
      <c r="A70" t="s">
        <v>18</v>
      </c>
      <c r="B70" s="13">
        <f>B13</f>
        <v>-86</v>
      </c>
      <c r="C70" s="13">
        <f t="shared" ref="C70:F70" si="141">C13</f>
        <v>-147</v>
      </c>
      <c r="D70" s="13">
        <f t="shared" si="141"/>
        <v>-200</v>
      </c>
      <c r="E70" s="13">
        <f t="shared" si="141"/>
        <v>-123</v>
      </c>
      <c r="F70" s="13">
        <f t="shared" si="141"/>
        <v>-124</v>
      </c>
      <c r="G70" s="16">
        <f>G71*G$66</f>
        <v>-124.84967589914865</v>
      </c>
      <c r="H70" s="16">
        <f t="shared" ref="H70" si="142">H71*H$66</f>
        <v>-132.27051002550144</v>
      </c>
      <c r="I70" s="16">
        <f t="shared" ref="I70" si="143">I71*I$66</f>
        <v>-139.76139046489769</v>
      </c>
      <c r="J70" s="16">
        <f t="shared" ref="J70" si="144">J71*J$66</f>
        <v>-149.79493775006097</v>
      </c>
      <c r="K70" s="16">
        <f t="shared" ref="K70" si="145">K71*K$66</f>
        <v>-160.58432036581746</v>
      </c>
    </row>
    <row r="71" spans="1:11" x14ac:dyDescent="0.3">
      <c r="A71" t="s">
        <v>46</v>
      </c>
      <c r="B71" s="12">
        <f>1-B69</f>
        <v>3.3000767459708369E-2</v>
      </c>
      <c r="C71" s="12">
        <f t="shared" ref="C71:F71" si="146">1-C69</f>
        <v>4.9213257448945447E-2</v>
      </c>
      <c r="D71" s="12">
        <f t="shared" si="146"/>
        <v>6.2480474851608903E-2</v>
      </c>
      <c r="E71" s="12">
        <f t="shared" si="146"/>
        <v>3.3754116355653174E-2</v>
      </c>
      <c r="F71" s="12">
        <f t="shared" si="146"/>
        <v>3.3119658119658113E-2</v>
      </c>
      <c r="G71" s="12">
        <f>F71</f>
        <v>3.3119658119658113E-2</v>
      </c>
      <c r="H71" s="12">
        <f t="shared" ref="H71:K71" si="147">G71</f>
        <v>3.3119658119658113E-2</v>
      </c>
      <c r="I71" s="12">
        <f t="shared" si="147"/>
        <v>3.3119658119658113E-2</v>
      </c>
      <c r="J71" s="12">
        <f t="shared" si="147"/>
        <v>3.3119658119658113E-2</v>
      </c>
      <c r="K71" s="12">
        <f t="shared" si="147"/>
        <v>3.3119658119658113E-2</v>
      </c>
    </row>
    <row r="73" spans="1:11" x14ac:dyDescent="0.3">
      <c r="A73" s="2" t="s">
        <v>128</v>
      </c>
      <c r="B73" s="2">
        <v>2021</v>
      </c>
      <c r="C73" s="2">
        <f>B73+1</f>
        <v>2022</v>
      </c>
      <c r="D73" s="2">
        <f t="shared" ref="D73:K73" si="148">C73+1</f>
        <v>2023</v>
      </c>
      <c r="E73" s="2">
        <f t="shared" si="148"/>
        <v>2024</v>
      </c>
      <c r="F73" s="2">
        <f t="shared" si="148"/>
        <v>2025</v>
      </c>
      <c r="G73" s="30">
        <f t="shared" si="148"/>
        <v>2026</v>
      </c>
      <c r="H73" s="30">
        <f t="shared" si="148"/>
        <v>2027</v>
      </c>
      <c r="I73" s="30">
        <f t="shared" si="148"/>
        <v>2028</v>
      </c>
      <c r="J73" s="30">
        <f t="shared" si="148"/>
        <v>2029</v>
      </c>
      <c r="K73" s="30">
        <f t="shared" si="148"/>
        <v>2030</v>
      </c>
    </row>
    <row r="74" spans="1:11" x14ac:dyDescent="0.3">
      <c r="A74" t="s">
        <v>50</v>
      </c>
      <c r="B74" s="13">
        <f>BS!B5</f>
        <v>745</v>
      </c>
      <c r="C74" s="13">
        <f>BS!C5</f>
        <v>1313</v>
      </c>
      <c r="D74" s="13">
        <f>BS!D5</f>
        <v>1132</v>
      </c>
      <c r="E74" s="13">
        <f>BS!E5</f>
        <v>1025</v>
      </c>
      <c r="F74" s="13">
        <f>BS!F5</f>
        <v>1009</v>
      </c>
      <c r="G74" s="13">
        <f>F74</f>
        <v>1009</v>
      </c>
      <c r="H74" s="13">
        <f t="shared" ref="H74:K74" si="149">G74</f>
        <v>1009</v>
      </c>
      <c r="I74" s="13">
        <f t="shared" si="149"/>
        <v>1009</v>
      </c>
      <c r="J74" s="13">
        <f t="shared" si="149"/>
        <v>1009</v>
      </c>
      <c r="K74" s="13">
        <f t="shared" si="149"/>
        <v>1009</v>
      </c>
    </row>
    <row r="75" spans="1:11" x14ac:dyDescent="0.3">
      <c r="A75" t="s">
        <v>51</v>
      </c>
      <c r="B75" s="13">
        <f>BS!B6</f>
        <v>17397</v>
      </c>
      <c r="C75" s="13">
        <f>BS!C6</f>
        <v>17397</v>
      </c>
      <c r="D75" s="13">
        <f>BS!D6</f>
        <v>17466</v>
      </c>
      <c r="E75" s="13">
        <f>BS!E6</f>
        <v>17466</v>
      </c>
      <c r="F75" s="13">
        <f>BS!F6</f>
        <v>17466</v>
      </c>
      <c r="G75" s="13">
        <f t="shared" ref="G75:K86" si="150">F75</f>
        <v>17466</v>
      </c>
      <c r="H75" s="13">
        <f t="shared" si="150"/>
        <v>17466</v>
      </c>
      <c r="I75" s="13">
        <f t="shared" si="150"/>
        <v>17466</v>
      </c>
      <c r="J75" s="13">
        <f t="shared" si="150"/>
        <v>17466</v>
      </c>
      <c r="K75" s="13">
        <f t="shared" si="150"/>
        <v>17466</v>
      </c>
    </row>
    <row r="76" spans="1:11" x14ac:dyDescent="0.3">
      <c r="A76" t="s">
        <v>53</v>
      </c>
      <c r="B76" s="13">
        <f>BS!B8</f>
        <v>0</v>
      </c>
      <c r="C76" s="13">
        <f>BS!C8</f>
        <v>0</v>
      </c>
      <c r="D76" s="13">
        <f>BS!D8</f>
        <v>69</v>
      </c>
      <c r="E76" s="13">
        <f>BS!E8</f>
        <v>65</v>
      </c>
      <c r="F76" s="13">
        <f>BS!F8</f>
        <v>57</v>
      </c>
      <c r="G76" s="13">
        <f t="shared" si="150"/>
        <v>57</v>
      </c>
      <c r="H76" s="13">
        <f t="shared" si="150"/>
        <v>57</v>
      </c>
      <c r="I76" s="13">
        <f t="shared" si="150"/>
        <v>57</v>
      </c>
      <c r="J76" s="13">
        <f t="shared" si="150"/>
        <v>57</v>
      </c>
      <c r="K76" s="13">
        <f t="shared" si="150"/>
        <v>57</v>
      </c>
    </row>
    <row r="77" spans="1:11" x14ac:dyDescent="0.3">
      <c r="A77" t="s">
        <v>54</v>
      </c>
      <c r="B77" s="13">
        <f>BS!B9</f>
        <v>2</v>
      </c>
      <c r="C77" s="13">
        <f>BS!C9</f>
        <v>2</v>
      </c>
      <c r="D77" s="13">
        <f>BS!D9</f>
        <v>2</v>
      </c>
      <c r="E77" s="13">
        <f>BS!E9</f>
        <v>2</v>
      </c>
      <c r="F77" s="13">
        <f>BS!F9</f>
        <v>2</v>
      </c>
      <c r="G77" s="13">
        <f t="shared" si="150"/>
        <v>2</v>
      </c>
      <c r="H77" s="13">
        <f t="shared" si="150"/>
        <v>2</v>
      </c>
      <c r="I77" s="13">
        <f t="shared" si="150"/>
        <v>2</v>
      </c>
      <c r="J77" s="13">
        <f t="shared" si="150"/>
        <v>2</v>
      </c>
      <c r="K77" s="13">
        <f t="shared" si="150"/>
        <v>2</v>
      </c>
    </row>
    <row r="78" spans="1:11" x14ac:dyDescent="0.3">
      <c r="A78" t="s">
        <v>55</v>
      </c>
      <c r="B78" s="13">
        <f>BS!B10</f>
        <v>111</v>
      </c>
      <c r="C78" s="13">
        <f>BS!C10</f>
        <v>115</v>
      </c>
      <c r="D78" s="13">
        <f>BS!D10</f>
        <v>98</v>
      </c>
      <c r="E78" s="13">
        <f>BS!E10</f>
        <v>102</v>
      </c>
      <c r="F78" s="13">
        <f>BS!F10</f>
        <v>87</v>
      </c>
      <c r="G78" s="13">
        <f t="shared" si="150"/>
        <v>87</v>
      </c>
      <c r="H78" s="13">
        <f t="shared" si="150"/>
        <v>87</v>
      </c>
      <c r="I78" s="13">
        <f t="shared" si="150"/>
        <v>87</v>
      </c>
      <c r="J78" s="13">
        <f t="shared" si="150"/>
        <v>87</v>
      </c>
      <c r="K78" s="13">
        <f t="shared" si="150"/>
        <v>87</v>
      </c>
    </row>
    <row r="79" spans="1:11" x14ac:dyDescent="0.3">
      <c r="A79" t="s">
        <v>56</v>
      </c>
      <c r="B79" s="13">
        <f>BS!B11</f>
        <v>757</v>
      </c>
      <c r="C79" s="13">
        <f>BS!C11</f>
        <v>729</v>
      </c>
      <c r="D79" s="13">
        <f>BS!D11</f>
        <v>725</v>
      </c>
      <c r="E79" s="13">
        <f>BS!E11</f>
        <v>760</v>
      </c>
      <c r="F79" s="13">
        <f>BS!F11</f>
        <v>763</v>
      </c>
      <c r="G79" s="13">
        <f t="shared" si="150"/>
        <v>763</v>
      </c>
      <c r="H79" s="13">
        <f t="shared" si="150"/>
        <v>763</v>
      </c>
      <c r="I79" s="13">
        <f t="shared" si="150"/>
        <v>763</v>
      </c>
      <c r="J79" s="13">
        <f t="shared" si="150"/>
        <v>763</v>
      </c>
      <c r="K79" s="13">
        <f t="shared" si="150"/>
        <v>763</v>
      </c>
    </row>
    <row r="80" spans="1:11" x14ac:dyDescent="0.3">
      <c r="A80" t="s">
        <v>57</v>
      </c>
      <c r="B80" s="13">
        <f>BS!B12</f>
        <v>17</v>
      </c>
      <c r="C80" s="13">
        <f>BS!C12</f>
        <v>11</v>
      </c>
      <c r="D80" s="13">
        <f>BS!D12</f>
        <v>10</v>
      </c>
      <c r="E80" s="13">
        <f>BS!E12</f>
        <v>10</v>
      </c>
      <c r="F80" s="13">
        <f>BS!F12</f>
        <v>17</v>
      </c>
      <c r="G80" s="13">
        <f t="shared" si="150"/>
        <v>17</v>
      </c>
      <c r="H80" s="13">
        <f t="shared" si="150"/>
        <v>17</v>
      </c>
      <c r="I80" s="13">
        <f t="shared" si="150"/>
        <v>17</v>
      </c>
      <c r="J80" s="13">
        <f t="shared" si="150"/>
        <v>17</v>
      </c>
      <c r="K80" s="13">
        <f t="shared" si="150"/>
        <v>17</v>
      </c>
    </row>
    <row r="81" spans="1:11" x14ac:dyDescent="0.3">
      <c r="A81" t="s">
        <v>58</v>
      </c>
      <c r="B81" s="13">
        <f>BS!B13</f>
        <v>1246</v>
      </c>
      <c r="C81" s="13">
        <f>BS!C13</f>
        <v>1158</v>
      </c>
      <c r="D81" s="13">
        <f>BS!D13</f>
        <v>1164</v>
      </c>
      <c r="E81" s="13">
        <f>BS!E13</f>
        <v>1175</v>
      </c>
      <c r="F81" s="13">
        <f>BS!F13</f>
        <v>1199</v>
      </c>
      <c r="G81" s="13">
        <f t="shared" si="150"/>
        <v>1199</v>
      </c>
      <c r="H81" s="13">
        <f t="shared" si="150"/>
        <v>1199</v>
      </c>
      <c r="I81" s="13">
        <f t="shared" si="150"/>
        <v>1199</v>
      </c>
      <c r="J81" s="13">
        <f t="shared" si="150"/>
        <v>1199</v>
      </c>
      <c r="K81" s="13">
        <f t="shared" si="150"/>
        <v>1199</v>
      </c>
    </row>
    <row r="82" spans="1:11" x14ac:dyDescent="0.3">
      <c r="A82" t="s">
        <v>59</v>
      </c>
      <c r="B82" s="13">
        <f>BS!B14</f>
        <v>219</v>
      </c>
      <c r="C82" s="13">
        <f>BS!C14</f>
        <v>194</v>
      </c>
      <c r="D82" s="13">
        <f>BS!D14</f>
        <v>211</v>
      </c>
      <c r="E82" s="13">
        <f>BS!E14</f>
        <v>292</v>
      </c>
      <c r="F82" s="13">
        <f>BS!F14</f>
        <v>360</v>
      </c>
      <c r="G82" s="13">
        <f t="shared" si="150"/>
        <v>360</v>
      </c>
      <c r="H82" s="13">
        <f t="shared" si="150"/>
        <v>360</v>
      </c>
      <c r="I82" s="13">
        <f t="shared" si="150"/>
        <v>360</v>
      </c>
      <c r="J82" s="13">
        <f t="shared" si="150"/>
        <v>360</v>
      </c>
      <c r="K82" s="13">
        <f t="shared" si="150"/>
        <v>360</v>
      </c>
    </row>
    <row r="83" spans="1:11" x14ac:dyDescent="0.3">
      <c r="A83" s="6" t="s">
        <v>77</v>
      </c>
      <c r="B83" s="13">
        <f>BS!B34</f>
        <v>296</v>
      </c>
      <c r="C83" s="13">
        <f>BS!C34</f>
        <v>357</v>
      </c>
      <c r="D83" s="13">
        <f>BS!D34</f>
        <v>860</v>
      </c>
      <c r="E83" s="13">
        <f>BS!E34</f>
        <v>718</v>
      </c>
      <c r="F83" s="13">
        <f>BS!F34</f>
        <v>680</v>
      </c>
      <c r="G83" s="13">
        <f t="shared" si="150"/>
        <v>680</v>
      </c>
      <c r="H83" s="13">
        <f t="shared" si="150"/>
        <v>680</v>
      </c>
      <c r="I83" s="13">
        <f t="shared" si="150"/>
        <v>680</v>
      </c>
      <c r="J83" s="13">
        <f t="shared" si="150"/>
        <v>680</v>
      </c>
      <c r="K83" s="13">
        <f t="shared" si="150"/>
        <v>680</v>
      </c>
    </row>
    <row r="84" spans="1:11" x14ac:dyDescent="0.3">
      <c r="A84" s="6" t="s">
        <v>78</v>
      </c>
      <c r="B84" s="13">
        <f>BS!B35</f>
        <v>1578</v>
      </c>
      <c r="C84" s="13">
        <f>BS!C35</f>
        <v>1580</v>
      </c>
      <c r="D84" s="13">
        <f>BS!D35</f>
        <v>1363</v>
      </c>
      <c r="E84" s="13">
        <f>BS!E35</f>
        <v>1576</v>
      </c>
      <c r="F84" s="13">
        <f>BS!F35</f>
        <v>1528</v>
      </c>
      <c r="G84" s="13">
        <f t="shared" si="150"/>
        <v>1528</v>
      </c>
      <c r="H84" s="13">
        <f t="shared" si="150"/>
        <v>1528</v>
      </c>
      <c r="I84" s="13">
        <f t="shared" si="150"/>
        <v>1528</v>
      </c>
      <c r="J84" s="13">
        <f t="shared" si="150"/>
        <v>1528</v>
      </c>
      <c r="K84" s="13">
        <f t="shared" si="150"/>
        <v>1528</v>
      </c>
    </row>
    <row r="85" spans="1:11" x14ac:dyDescent="0.3">
      <c r="A85" t="s">
        <v>79</v>
      </c>
      <c r="B85" s="13">
        <f>BS!B36</f>
        <v>5988</v>
      </c>
      <c r="C85" s="13">
        <f>BS!C36</f>
        <v>6141</v>
      </c>
      <c r="D85" s="13">
        <f>BS!D36</f>
        <v>6421</v>
      </c>
      <c r="E85" s="13">
        <f>BS!E36</f>
        <v>6557</v>
      </c>
      <c r="F85" s="13">
        <f>BS!F36</f>
        <v>6685</v>
      </c>
      <c r="G85" s="13">
        <f t="shared" si="150"/>
        <v>6685</v>
      </c>
      <c r="H85" s="13">
        <f t="shared" si="150"/>
        <v>6685</v>
      </c>
      <c r="I85" s="13">
        <f t="shared" si="150"/>
        <v>6685</v>
      </c>
      <c r="J85" s="13">
        <f t="shared" si="150"/>
        <v>6685</v>
      </c>
      <c r="K85" s="13">
        <f t="shared" si="150"/>
        <v>6685</v>
      </c>
    </row>
    <row r="86" spans="1:11" x14ac:dyDescent="0.3">
      <c r="A86" t="s">
        <v>80</v>
      </c>
      <c r="B86" s="13">
        <f>BS!B37</f>
        <v>1367</v>
      </c>
      <c r="C86" s="13">
        <f>BS!C37</f>
        <v>1331</v>
      </c>
      <c r="D86" s="13">
        <f>BS!D37</f>
        <v>1086</v>
      </c>
      <c r="E86" s="13">
        <f>BS!E37</f>
        <v>4243</v>
      </c>
      <c r="F86" s="13">
        <f>BS!F37</f>
        <v>3598</v>
      </c>
      <c r="G86" s="13">
        <f t="shared" si="150"/>
        <v>3598</v>
      </c>
      <c r="H86" s="13">
        <f t="shared" si="150"/>
        <v>3598</v>
      </c>
      <c r="I86" s="13">
        <f t="shared" si="150"/>
        <v>3598</v>
      </c>
      <c r="J86" s="13">
        <f t="shared" si="150"/>
        <v>3598</v>
      </c>
      <c r="K86" s="13">
        <f t="shared" si="150"/>
        <v>3598</v>
      </c>
    </row>
    <row r="89" spans="1:11" x14ac:dyDescent="0.3">
      <c r="A89" s="2" t="s">
        <v>70</v>
      </c>
      <c r="B89" s="2">
        <v>2021</v>
      </c>
      <c r="C89" s="2">
        <f>B89+1</f>
        <v>2022</v>
      </c>
      <c r="D89" s="2">
        <f t="shared" ref="D89" si="151">C89+1</f>
        <v>2023</v>
      </c>
      <c r="E89" s="2">
        <f t="shared" ref="E89" si="152">D89+1</f>
        <v>2024</v>
      </c>
      <c r="F89" s="2">
        <f t="shared" ref="F89" si="153">E89+1</f>
        <v>2025</v>
      </c>
      <c r="G89" s="30">
        <f t="shared" ref="G89" si="154">F89+1</f>
        <v>2026</v>
      </c>
      <c r="H89" s="30">
        <f t="shared" ref="H89" si="155">G89+1</f>
        <v>2027</v>
      </c>
      <c r="I89" s="30">
        <f t="shared" ref="I89" si="156">H89+1</f>
        <v>2028</v>
      </c>
      <c r="J89" s="30">
        <f t="shared" ref="J89" si="157">I89+1</f>
        <v>2029</v>
      </c>
      <c r="K89" s="30">
        <f t="shared" ref="K89" si="158">J89+1</f>
        <v>2030</v>
      </c>
    </row>
    <row r="90" spans="1:11" x14ac:dyDescent="0.3">
      <c r="A90" t="s">
        <v>71</v>
      </c>
      <c r="B90" s="13">
        <f>BS!B28</f>
        <v>235</v>
      </c>
      <c r="C90" s="13">
        <f>BS!C28</f>
        <v>235</v>
      </c>
      <c r="D90" s="13">
        <f>BS!D28</f>
        <v>235</v>
      </c>
      <c r="E90" s="13">
        <f>BS!E28</f>
        <v>235</v>
      </c>
      <c r="F90" s="13">
        <f>BS!F28</f>
        <v>235</v>
      </c>
      <c r="G90" s="13">
        <f>F90</f>
        <v>235</v>
      </c>
      <c r="H90" s="13">
        <f t="shared" ref="H90:K90" si="159">G90</f>
        <v>235</v>
      </c>
      <c r="I90" s="13">
        <f t="shared" si="159"/>
        <v>235</v>
      </c>
      <c r="J90" s="13">
        <f t="shared" si="159"/>
        <v>235</v>
      </c>
      <c r="K90" s="13">
        <f t="shared" si="159"/>
        <v>235</v>
      </c>
    </row>
    <row r="91" spans="1:11" x14ac:dyDescent="0.3">
      <c r="A91" t="s">
        <v>72</v>
      </c>
      <c r="B91" s="13">
        <f>BS!B29</f>
        <v>47439</v>
      </c>
      <c r="C91" s="13">
        <f>BS!C29</f>
        <v>48826</v>
      </c>
      <c r="D91" s="13">
        <f>BS!D29</f>
        <v>50069</v>
      </c>
      <c r="E91" s="13">
        <f>BS!E29</f>
        <v>50983</v>
      </c>
      <c r="F91" s="13">
        <f>BS!F29</f>
        <v>49167</v>
      </c>
      <c r="G91" s="13">
        <f>F91+IS!G22</f>
        <v>51075.96419112289</v>
      </c>
      <c r="H91" s="13">
        <f>G91+IS!H22</f>
        <v>54244.612325045731</v>
      </c>
      <c r="I91" s="13">
        <f>H91+IS!I22</f>
        <v>58091.789241995182</v>
      </c>
      <c r="J91" s="13">
        <f>I91+IS!J22</f>
        <v>62847.811345291033</v>
      </c>
      <c r="K91" s="13">
        <f>J91+IS!K22</f>
        <v>68581.142686814113</v>
      </c>
    </row>
    <row r="92" spans="1:11" x14ac:dyDescent="0.3">
      <c r="A92" t="s">
        <v>73</v>
      </c>
      <c r="B92" s="13">
        <f>BS!B30</f>
        <v>20</v>
      </c>
      <c r="C92" s="13">
        <f>BS!C30</f>
        <v>26</v>
      </c>
      <c r="D92" s="13">
        <f>BS!D30</f>
        <v>218</v>
      </c>
      <c r="E92" s="13">
        <f>BS!E30</f>
        <v>205</v>
      </c>
      <c r="F92" s="13">
        <f>BS!F30</f>
        <v>207</v>
      </c>
      <c r="G92" s="13">
        <f>F92</f>
        <v>207</v>
      </c>
      <c r="H92" s="13">
        <f t="shared" ref="H92:K92" si="160">G92</f>
        <v>207</v>
      </c>
      <c r="I92" s="13">
        <f t="shared" si="160"/>
        <v>207</v>
      </c>
      <c r="J92" s="13">
        <f t="shared" si="160"/>
        <v>207</v>
      </c>
      <c r="K92" s="13">
        <f t="shared" si="160"/>
        <v>207</v>
      </c>
    </row>
    <row r="93" spans="1:11" x14ac:dyDescent="0.3">
      <c r="A93" t="s">
        <v>129</v>
      </c>
      <c r="B93">
        <f>B90/B97</f>
        <v>235</v>
      </c>
      <c r="C93">
        <f t="shared" ref="C93:K93" si="161">C90/C97</f>
        <v>235</v>
      </c>
      <c r="D93">
        <f t="shared" si="161"/>
        <v>235</v>
      </c>
      <c r="E93">
        <f t="shared" si="161"/>
        <v>235</v>
      </c>
      <c r="F93">
        <f t="shared" si="161"/>
        <v>235</v>
      </c>
      <c r="G93">
        <f t="shared" si="161"/>
        <v>235</v>
      </c>
      <c r="H93">
        <f t="shared" si="161"/>
        <v>235</v>
      </c>
      <c r="I93">
        <f t="shared" si="161"/>
        <v>235</v>
      </c>
      <c r="J93">
        <f t="shared" si="161"/>
        <v>235</v>
      </c>
      <c r="K93">
        <f t="shared" si="161"/>
        <v>235</v>
      </c>
    </row>
    <row r="95" spans="1:11" x14ac:dyDescent="0.3">
      <c r="A95" s="2" t="s">
        <v>130</v>
      </c>
      <c r="B95" s="2">
        <v>2021</v>
      </c>
      <c r="C95" s="2">
        <f>B95+1</f>
        <v>2022</v>
      </c>
      <c r="D95" s="2">
        <f t="shared" ref="D95" si="162">C95+1</f>
        <v>2023</v>
      </c>
      <c r="E95" s="2">
        <f t="shared" ref="E95" si="163">D95+1</f>
        <v>2024</v>
      </c>
      <c r="F95" s="2">
        <f t="shared" ref="F95" si="164">E95+1</f>
        <v>2025</v>
      </c>
      <c r="G95" s="30">
        <f t="shared" ref="G95" si="165">F95+1</f>
        <v>2026</v>
      </c>
      <c r="H95" s="30">
        <f t="shared" ref="H95" si="166">G95+1</f>
        <v>2027</v>
      </c>
      <c r="I95" s="30">
        <f t="shared" ref="I95" si="167">H95+1</f>
        <v>2028</v>
      </c>
      <c r="J95" s="30">
        <f t="shared" ref="J95" si="168">I95+1</f>
        <v>2029</v>
      </c>
      <c r="K95" s="30">
        <f t="shared" ref="K95" si="169">J95+1</f>
        <v>2030</v>
      </c>
    </row>
    <row r="96" spans="1:11" x14ac:dyDescent="0.3">
      <c r="A96" t="s">
        <v>20</v>
      </c>
      <c r="B96">
        <f>IS!B21</f>
        <v>9517.5</v>
      </c>
      <c r="C96">
        <f>IS!C21</f>
        <v>7990</v>
      </c>
      <c r="D96">
        <f>IS!D21</f>
        <v>9165</v>
      </c>
      <c r="E96">
        <f>IS!E21</f>
        <v>9870</v>
      </c>
      <c r="F96">
        <f>IS!F21</f>
        <v>12455</v>
      </c>
      <c r="G96" s="13">
        <f>G98*G90</f>
        <v>9400</v>
      </c>
      <c r="H96" s="13">
        <f t="shared" ref="H96:K96" si="170">H98*H90</f>
        <v>8812.5</v>
      </c>
      <c r="I96" s="13">
        <f t="shared" si="170"/>
        <v>8812.5</v>
      </c>
      <c r="J96" s="13">
        <f t="shared" si="170"/>
        <v>8812.5</v>
      </c>
      <c r="K96" s="13">
        <f t="shared" si="170"/>
        <v>8812.5</v>
      </c>
    </row>
    <row r="97" spans="1:11" x14ac:dyDescent="0.3">
      <c r="A97" t="s">
        <v>131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 x14ac:dyDescent="0.3">
      <c r="A98" t="s">
        <v>132</v>
      </c>
      <c r="B98" s="18">
        <f>B96/(B97*B93)</f>
        <v>40.5</v>
      </c>
      <c r="C98" s="18">
        <f t="shared" ref="C98:F98" si="171">C96/(C97*C93)</f>
        <v>34</v>
      </c>
      <c r="D98" s="18">
        <f t="shared" si="171"/>
        <v>39</v>
      </c>
      <c r="E98" s="18">
        <f t="shared" si="171"/>
        <v>42</v>
      </c>
      <c r="F98" s="18">
        <f t="shared" si="171"/>
        <v>53</v>
      </c>
      <c r="G98" s="5">
        <f>4000%</f>
        <v>40</v>
      </c>
      <c r="H98" s="5">
        <f>4000%-250%</f>
        <v>37.5</v>
      </c>
      <c r="I98" s="5">
        <f t="shared" ref="I98:K98" si="172">4000%-250%</f>
        <v>37.5</v>
      </c>
      <c r="J98" s="5">
        <f t="shared" si="172"/>
        <v>37.5</v>
      </c>
      <c r="K98" s="5">
        <f t="shared" si="172"/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</vt:lpstr>
      <vt:lpstr>BS</vt:lpstr>
      <vt:lpstr>CF</vt:lpstr>
      <vt:lpstr>Schedules</vt:lpstr>
      <vt:lpstr>Assumption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Hrishabh Bhatt</dc:creator>
  <cp:lastModifiedBy>Aditya Roy</cp:lastModifiedBy>
  <cp:lastPrinted>2026-01-11T11:25:43Z</cp:lastPrinted>
  <dcterms:created xsi:type="dcterms:W3CDTF">2025-07-19T14:52:36Z</dcterms:created>
  <dcterms:modified xsi:type="dcterms:W3CDTF">2026-01-11T13:09:10Z</dcterms:modified>
</cp:coreProperties>
</file>